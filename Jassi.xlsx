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keshsar Singh\Downloads\"/>
    </mc:Choice>
  </mc:AlternateContent>
  <xr:revisionPtr revIDLastSave="0" documentId="8_{4DFC4F81-377F-4E79-B04E-AD02B8EE7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5" r:id="rId2"/>
    <sheet name="Sheet5" sheetId="6" r:id="rId3"/>
    <sheet name="Sheet3" sheetId="3" r:id="rId4"/>
    <sheet name="Sheet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1" l="1" a="1"/>
  <c r="M90" i="1" s="1"/>
  <c r="L90" i="1" a="1"/>
  <c r="L90" i="1" s="1"/>
  <c r="K2" i="1"/>
  <c r="L2" i="1" s="1"/>
  <c r="M2" i="1"/>
  <c r="K3" i="1"/>
  <c r="L3" i="1" s="1"/>
  <c r="M3" i="1"/>
  <c r="K4" i="1"/>
  <c r="L4" i="1"/>
  <c r="M4" i="1"/>
  <c r="K5" i="1"/>
  <c r="L5" i="1" s="1"/>
  <c r="M5" i="1"/>
  <c r="K6" i="1"/>
  <c r="K7" i="1"/>
  <c r="L7" i="1"/>
  <c r="M7" i="1"/>
  <c r="K8" i="1"/>
  <c r="L8" i="1" s="1"/>
  <c r="M8" i="1"/>
  <c r="K9" i="1"/>
  <c r="L9" i="1" s="1"/>
  <c r="M9" i="1"/>
  <c r="K10" i="1"/>
  <c r="L10" i="1" s="1"/>
  <c r="M10" i="1"/>
  <c r="K11" i="1"/>
  <c r="L11" i="1"/>
  <c r="M11" i="1"/>
  <c r="K12" i="1"/>
  <c r="L12" i="1"/>
  <c r="M12" i="1"/>
  <c r="K13" i="1"/>
  <c r="K14" i="1"/>
  <c r="K15" i="1"/>
  <c r="L15" i="1" s="1"/>
  <c r="M15" i="1"/>
  <c r="K16" i="1"/>
  <c r="L16" i="1" s="1"/>
  <c r="M16" i="1"/>
  <c r="K17" i="1"/>
  <c r="K18" i="1"/>
  <c r="L18" i="1" s="1"/>
  <c r="M18" i="1"/>
  <c r="K19" i="1"/>
  <c r="L19" i="1" s="1"/>
  <c r="M19" i="1"/>
  <c r="K20" i="1"/>
  <c r="L20" i="1" s="1"/>
  <c r="M20" i="1"/>
  <c r="K21" i="1"/>
  <c r="L21" i="1" s="1"/>
  <c r="M21" i="1"/>
  <c r="K22" i="1"/>
  <c r="L22" i="1" s="1"/>
  <c r="M22" i="1"/>
  <c r="K23" i="1"/>
  <c r="L23" i="1" s="1"/>
  <c r="M23" i="1"/>
  <c r="K24" i="1"/>
  <c r="K25" i="1"/>
  <c r="L25" i="1" s="1"/>
  <c r="M25" i="1"/>
  <c r="K26" i="1"/>
  <c r="L26" i="1"/>
  <c r="M26" i="1"/>
  <c r="K27" i="1"/>
  <c r="L27" i="1" s="1"/>
  <c r="M27" i="1"/>
  <c r="K28" i="1"/>
  <c r="L28" i="1" s="1"/>
  <c r="M28" i="1"/>
  <c r="K29" i="1"/>
  <c r="L29" i="1" s="1"/>
  <c r="M29" i="1"/>
  <c r="K30" i="1"/>
  <c r="L30" i="1" s="1"/>
  <c r="M30" i="1"/>
  <c r="K31" i="1"/>
  <c r="L31" i="1"/>
  <c r="M31" i="1"/>
  <c r="K32" i="1"/>
  <c r="L32" i="1" s="1"/>
  <c r="M32" i="1"/>
  <c r="K33" i="1"/>
  <c r="L33" i="1"/>
  <c r="M33" i="1"/>
  <c r="K34" i="1"/>
  <c r="L34" i="1" s="1"/>
  <c r="M34" i="1"/>
  <c r="K35" i="1"/>
  <c r="L35" i="1" s="1"/>
  <c r="M35" i="1"/>
  <c r="K36" i="1"/>
  <c r="L36" i="1"/>
  <c r="M36" i="1"/>
  <c r="K37" i="1"/>
  <c r="L37" i="1" s="1"/>
  <c r="M37" i="1"/>
  <c r="K38" i="1"/>
  <c r="L38" i="1" s="1"/>
  <c r="M38" i="1"/>
  <c r="K39" i="1"/>
  <c r="L39" i="1" s="1"/>
  <c r="M39" i="1"/>
  <c r="K40" i="1"/>
  <c r="L40" i="1" s="1"/>
  <c r="M40" i="1"/>
  <c r="K41" i="1"/>
  <c r="L41" i="1" s="1"/>
  <c r="M41" i="1"/>
  <c r="K42" i="1"/>
  <c r="L42" i="1" s="1"/>
  <c r="M42" i="1"/>
  <c r="K43" i="1"/>
  <c r="L43" i="1"/>
  <c r="M43" i="1"/>
  <c r="K44" i="1"/>
  <c r="K45" i="1"/>
  <c r="L45" i="1"/>
  <c r="M45" i="1"/>
  <c r="K46" i="1"/>
  <c r="L46" i="1" s="1"/>
  <c r="M46" i="1"/>
  <c r="K47" i="1"/>
  <c r="L47" i="1" s="1"/>
  <c r="M47" i="1"/>
  <c r="K48" i="1"/>
  <c r="K49" i="1"/>
  <c r="L49" i="1" s="1"/>
  <c r="M49" i="1"/>
  <c r="K50" i="1"/>
  <c r="K51" i="1"/>
  <c r="L51" i="1"/>
  <c r="M51" i="1"/>
  <c r="K52" i="1"/>
  <c r="L52" i="1" s="1"/>
  <c r="M52" i="1"/>
  <c r="K53" i="1"/>
  <c r="K54" i="1"/>
  <c r="L54" i="1" s="1"/>
  <c r="M54" i="1"/>
  <c r="K55" i="1"/>
  <c r="L55" i="1" s="1"/>
  <c r="M55" i="1"/>
  <c r="K56" i="1"/>
  <c r="L56" i="1" s="1"/>
  <c r="M56" i="1"/>
  <c r="K57" i="1"/>
  <c r="L57" i="1" s="1"/>
  <c r="M57" i="1"/>
  <c r="K58" i="1"/>
  <c r="L58" i="1" s="1"/>
  <c r="M58" i="1"/>
  <c r="K59" i="1"/>
  <c r="L59" i="1" s="1"/>
  <c r="M59" i="1"/>
  <c r="K60" i="1"/>
  <c r="K61" i="1"/>
  <c r="L61" i="1"/>
  <c r="M61" i="1"/>
  <c r="K62" i="1"/>
  <c r="K63" i="1"/>
  <c r="K64" i="1"/>
  <c r="K65" i="1"/>
  <c r="K66" i="1"/>
  <c r="L66" i="1" s="1"/>
  <c r="M66" i="1"/>
  <c r="K67" i="1"/>
  <c r="L67" i="1"/>
  <c r="M67" i="1"/>
  <c r="K68" i="1"/>
  <c r="L68" i="1" s="1"/>
  <c r="M68" i="1"/>
  <c r="K69" i="1"/>
  <c r="L69" i="1" s="1"/>
  <c r="M69" i="1"/>
  <c r="K70" i="1"/>
  <c r="L70" i="1" s="1"/>
  <c r="M70" i="1"/>
  <c r="K71" i="1"/>
  <c r="L71" i="1" s="1"/>
  <c r="M71" i="1"/>
  <c r="K72" i="1"/>
  <c r="L72" i="1" s="1"/>
  <c r="M72" i="1"/>
  <c r="K73" i="1"/>
  <c r="L73" i="1" s="1"/>
  <c r="M73" i="1"/>
  <c r="K74" i="1"/>
  <c r="L74" i="1"/>
  <c r="M74" i="1"/>
  <c r="K75" i="1"/>
  <c r="L75" i="1" s="1"/>
  <c r="M75" i="1"/>
  <c r="K76" i="1"/>
  <c r="L76" i="1" s="1"/>
  <c r="M76" i="1"/>
  <c r="K77" i="1"/>
  <c r="L77" i="1"/>
  <c r="M77" i="1"/>
  <c r="K78" i="1"/>
  <c r="L78" i="1" s="1"/>
  <c r="M78" i="1"/>
  <c r="K79" i="1"/>
  <c r="L79" i="1" s="1"/>
  <c r="M79" i="1"/>
  <c r="K80" i="1"/>
  <c r="L80" i="1"/>
  <c r="M80" i="1"/>
  <c r="K81" i="1"/>
  <c r="L81" i="1" s="1"/>
  <c r="M81" i="1"/>
  <c r="K82" i="1"/>
  <c r="L82" i="1" s="1"/>
  <c r="M82" i="1"/>
  <c r="K83" i="1"/>
  <c r="L83" i="1"/>
  <c r="M83" i="1"/>
  <c r="K84" i="1"/>
  <c r="L84" i="1" s="1"/>
  <c r="M84" i="1"/>
  <c r="K85" i="1"/>
  <c r="L85" i="1"/>
  <c r="M85" i="1"/>
  <c r="K86" i="1"/>
  <c r="K87" i="1"/>
  <c r="L87" i="1"/>
  <c r="M87" i="1"/>
  <c r="K88" i="1"/>
  <c r="L88" i="1" s="1"/>
  <c r="M88" i="1"/>
  <c r="K89" i="1"/>
  <c r="L89" i="1" s="1"/>
  <c r="M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<sst xmlns="http://schemas.openxmlformats.org/spreadsheetml/2006/main" count="454" uniqueCount="109">
  <si>
    <t>Overs</t>
  </si>
  <si>
    <t>Mdns</t>
  </si>
  <si>
    <t>Runs</t>
  </si>
  <si>
    <t>Wkts</t>
  </si>
  <si>
    <t>Econ</t>
  </si>
  <si>
    <t>Pos</t>
  </si>
  <si>
    <t>Inns</t>
  </si>
  <si>
    <t>Opposition</t>
  </si>
  <si>
    <t>Ground</t>
  </si>
  <si>
    <t>Date</t>
  </si>
  <si>
    <t>balls</t>
  </si>
  <si>
    <t>strike rate</t>
  </si>
  <si>
    <t>Home_Away</t>
  </si>
  <si>
    <t>v Australia</t>
  </si>
  <si>
    <t>Sydney</t>
  </si>
  <si>
    <t>v Zimbabwe</t>
  </si>
  <si>
    <t>Harare</t>
  </si>
  <si>
    <t>NA</t>
  </si>
  <si>
    <t>v New Zealand</t>
  </si>
  <si>
    <t>Dharamsala</t>
  </si>
  <si>
    <t>Delhi</t>
  </si>
  <si>
    <t>Mohali</t>
  </si>
  <si>
    <t>v England</t>
  </si>
  <si>
    <t>Pune</t>
  </si>
  <si>
    <t>Cuttack</t>
  </si>
  <si>
    <t>Eden Gardens</t>
  </si>
  <si>
    <t>v Pakistan</t>
  </si>
  <si>
    <t>Birmingham</t>
  </si>
  <si>
    <t>v Sri Lanka</t>
  </si>
  <si>
    <t>v South Africa</t>
  </si>
  <si>
    <t>v Bangladesh</t>
  </si>
  <si>
    <t>Dambulla</t>
  </si>
  <si>
    <t>Pallekele</t>
  </si>
  <si>
    <t>Colombo (RPS)</t>
  </si>
  <si>
    <t>Chennai</t>
  </si>
  <si>
    <t>Indore</t>
  </si>
  <si>
    <t>Nagpur</t>
  </si>
  <si>
    <t>Wankhede</t>
  </si>
  <si>
    <t>Kanpur</t>
  </si>
  <si>
    <t>Durban</t>
  </si>
  <si>
    <t>Centurion</t>
  </si>
  <si>
    <t>Cape Town</t>
  </si>
  <si>
    <t>Johannesburg</t>
  </si>
  <si>
    <t>Gqeberha</t>
  </si>
  <si>
    <t>Dubai (DICS)</t>
  </si>
  <si>
    <t>v West Indies</t>
  </si>
  <si>
    <t>Brabourne</t>
  </si>
  <si>
    <t>Hyderabad</t>
  </si>
  <si>
    <t>Ranchi</t>
  </si>
  <si>
    <t>Southampton</t>
  </si>
  <si>
    <t>Manchester</t>
  </si>
  <si>
    <t>v Afghanistan</t>
  </si>
  <si>
    <t>Leeds</t>
  </si>
  <si>
    <t>Rajkot</t>
  </si>
  <si>
    <t>Bengaluru</t>
  </si>
  <si>
    <t>Hamilton</t>
  </si>
  <si>
    <t>Auckland</t>
  </si>
  <si>
    <t>Mount Maunganui</t>
  </si>
  <si>
    <t>Canberra</t>
  </si>
  <si>
    <t>Paarl</t>
  </si>
  <si>
    <t>Lord's</t>
  </si>
  <si>
    <t>Ahmedabad</t>
  </si>
  <si>
    <t>Lucknow</t>
  </si>
  <si>
    <t>v Netherlands</t>
  </si>
  <si>
    <t>Opposition Strength</t>
  </si>
  <si>
    <t>Oers</t>
  </si>
  <si>
    <t>Aerage</t>
  </si>
  <si>
    <t>isakhapatnam</t>
  </si>
  <si>
    <t>The Oal</t>
  </si>
  <si>
    <t>Thiruananthapuram</t>
  </si>
  <si>
    <t>Team</t>
  </si>
  <si>
    <t>Span</t>
  </si>
  <si>
    <t>Mat</t>
  </si>
  <si>
    <t>BBI</t>
  </si>
  <si>
    <t>Avg</t>
  </si>
  <si>
    <t>SR</t>
  </si>
  <si>
    <t>4w</t>
  </si>
  <si>
    <t>5w</t>
  </si>
  <si>
    <t>oppositionstrength</t>
  </si>
  <si>
    <t>Afghanistan</t>
  </si>
  <si>
    <t>2019-2023</t>
  </si>
  <si>
    <t>Australia</t>
  </si>
  <si>
    <t>2016-2023</t>
  </si>
  <si>
    <t>Bangladesh</t>
  </si>
  <si>
    <t>2017-2023</t>
  </si>
  <si>
    <t>England</t>
  </si>
  <si>
    <t>Netherlands</t>
  </si>
  <si>
    <t>2023-2023</t>
  </si>
  <si>
    <t>New Zealand</t>
  </si>
  <si>
    <t>Pakistan</t>
  </si>
  <si>
    <t>South Africa</t>
  </si>
  <si>
    <t>Sri Lanka</t>
  </si>
  <si>
    <t>West Indies</t>
  </si>
  <si>
    <t>2018-2019</t>
  </si>
  <si>
    <t>Zimbabwe</t>
  </si>
  <si>
    <t>2016-2016</t>
  </si>
  <si>
    <t> 0.55</t>
  </si>
  <si>
    <t> 1.45</t>
  </si>
  <si>
    <t> 0.75</t>
  </si>
  <si>
    <t> 0.93</t>
  </si>
  <si>
    <t> 0.7</t>
  </si>
  <si>
    <t> 1.66</t>
  </si>
  <si>
    <t> 1.41</t>
  </si>
  <si>
    <t> 0.95</t>
  </si>
  <si>
    <t> 0.71</t>
  </si>
  <si>
    <t> 0.42</t>
  </si>
  <si>
    <t> 0.36</t>
  </si>
  <si>
    <t>Venue Index</t>
  </si>
  <si>
    <t>venue 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</si>
</sst>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0"/>
      <name val="Calibri"/>
      <family val="2"/>
      <scheme val="minor"/>
    </font>
    <font>
      <b/>
      <sz val="14"/>
      <color rgb="FF222222"/>
      <name val="Tahoma"/>
      <family val="2"/>
    </font>
    <font>
      <b/>
      <sz val="14"/>
      <color theme="1"/>
      <name val="Calibri"/>
      <family val="2"/>
      <scheme val="minor"/>
    </font>
    <font>
      <sz val="14"/>
      <color rgb="FF222222"/>
      <name val="Tahoma"/>
      <family val="2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7" fillId="0" borderId="1" xfId="0" applyFont="1" applyBorder="1" applyAlignment="1">
      <alignment horizontal="right" vertical="center" wrapText="1"/>
    </xf>
    <xf numFmtId="0" fontId="9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2" xfId="0" applyFont="1" applyBorder="1" applyAlignment="1">
      <alignment horizontal="center" vertical="top"/>
    </xf>
    <xf numFmtId="17" fontId="10" fillId="0" borderId="0" xfId="0" applyNumberFormat="1" applyFont="1"/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625383.html?class=2;orderby=start;orderbyad=reverse;template=results;type=bowling;view=in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99060</xdr:colOff>
      <xdr:row>0</xdr:row>
      <xdr:rowOff>99060</xdr:rowOff>
    </xdr:to>
    <xdr:pic>
      <xdr:nvPicPr>
        <xdr:cNvPr id="2" name="Picture 1" descr="Ascend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34200" y="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0</xdr:row>
      <xdr:rowOff>0</xdr:rowOff>
    </xdr:from>
    <xdr:ext cx="99060" cy="99060"/>
    <xdr:pic>
      <xdr:nvPicPr>
        <xdr:cNvPr id="4" name="Picture 3" descr="Ascend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457EF1-1371-44ED-9059-FD8028DF8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18835" y="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team/2.html" TargetMode="External"/><Relationship Id="rId299" Type="http://schemas.openxmlformats.org/officeDocument/2006/relationships/hyperlink" Target="https://stats.espncricinfo.com/ci/content/ground/56788.html" TargetMode="External"/><Relationship Id="rId21" Type="http://schemas.openxmlformats.org/officeDocument/2006/relationships/hyperlink" Target="https://stats.espncricinfo.com/ci/content/ground/57127.html" TargetMode="External"/><Relationship Id="rId63" Type="http://schemas.openxmlformats.org/officeDocument/2006/relationships/hyperlink" Target="https://stats.espncricinfo.com/ci/content/ground/56788.html" TargetMode="External"/><Relationship Id="rId159" Type="http://schemas.openxmlformats.org/officeDocument/2006/relationships/hyperlink" Target="https://stats.espncricinfo.com/ci/content/team/2.html" TargetMode="External"/><Relationship Id="rId170" Type="http://schemas.openxmlformats.org/officeDocument/2006/relationships/hyperlink" Target="https://stats.espncricinfo.com/ci/content/team/3.html" TargetMode="External"/><Relationship Id="rId226" Type="http://schemas.openxmlformats.org/officeDocument/2006/relationships/hyperlink" Target="https://stats.espncricinfo.com/ci/content/team/4.html" TargetMode="External"/><Relationship Id="rId268" Type="http://schemas.openxmlformats.org/officeDocument/2006/relationships/hyperlink" Target="https://stats.espncricinfo.com/ci/content/team/3.html" TargetMode="External"/><Relationship Id="rId32" Type="http://schemas.openxmlformats.org/officeDocument/2006/relationships/hyperlink" Target="https://stats.espncricinfo.com/ci/content/ground/375326.html" TargetMode="External"/><Relationship Id="rId74" Type="http://schemas.openxmlformats.org/officeDocument/2006/relationships/hyperlink" Target="https://stats.espncricinfo.com/ci/content/ground/56370.html" TargetMode="External"/><Relationship Id="rId128" Type="http://schemas.openxmlformats.org/officeDocument/2006/relationships/hyperlink" Target="https://stats.espncricinfo.com/ci/content/team/25.html" TargetMode="External"/><Relationship Id="rId5" Type="http://schemas.openxmlformats.org/officeDocument/2006/relationships/hyperlink" Target="https://stats.espncricinfo.com/ci/engine/player/625383.html?class=2;orderby=economy_rate;template=results;type=bowling;view=innings" TargetMode="External"/><Relationship Id="rId181" Type="http://schemas.openxmlformats.org/officeDocument/2006/relationships/hyperlink" Target="https://stats.espncricinfo.com/ci/content/team/9.html" TargetMode="External"/><Relationship Id="rId237" Type="http://schemas.openxmlformats.org/officeDocument/2006/relationships/hyperlink" Target="https://stats.espncricinfo.com/ci/content/team/4.html" TargetMode="External"/><Relationship Id="rId279" Type="http://schemas.openxmlformats.org/officeDocument/2006/relationships/hyperlink" Target="https://stats.espncricinfo.com/ci/content/ground/58547.html" TargetMode="External"/><Relationship Id="rId43" Type="http://schemas.openxmlformats.org/officeDocument/2006/relationships/hyperlink" Target="https://stats.espncricinfo.com/ci/content/ground/59159.html" TargetMode="External"/><Relationship Id="rId139" Type="http://schemas.openxmlformats.org/officeDocument/2006/relationships/hyperlink" Target="https://stats.espncricinfo.com/ci/content/team/2.html" TargetMode="External"/><Relationship Id="rId290" Type="http://schemas.openxmlformats.org/officeDocument/2006/relationships/hyperlink" Target="https://stats.espncricinfo.com/ci/content/ground/58831.html" TargetMode="External"/><Relationship Id="rId304" Type="http://schemas.openxmlformats.org/officeDocument/2006/relationships/hyperlink" Target="https://stats.espncricinfo.com/ci/content/ground/545380.html" TargetMode="External"/><Relationship Id="rId85" Type="http://schemas.openxmlformats.org/officeDocument/2006/relationships/hyperlink" Target="https://stats.espncricinfo.com/ci/content/ground/58008.html" TargetMode="External"/><Relationship Id="rId150" Type="http://schemas.openxmlformats.org/officeDocument/2006/relationships/hyperlink" Target="https://stats.espncricinfo.com/ci/content/team/3.html" TargetMode="External"/><Relationship Id="rId192" Type="http://schemas.openxmlformats.org/officeDocument/2006/relationships/hyperlink" Target="https://stats.espncricinfo.com/ci/content/team/1.html" TargetMode="External"/><Relationship Id="rId206" Type="http://schemas.openxmlformats.org/officeDocument/2006/relationships/hyperlink" Target="https://stats.espncricinfo.com/ci/content/team/2.html" TargetMode="External"/><Relationship Id="rId248" Type="http://schemas.openxmlformats.org/officeDocument/2006/relationships/hyperlink" Target="https://stats.espncricinfo.com/ci/content/team/2.html" TargetMode="External"/><Relationship Id="rId12" Type="http://schemas.openxmlformats.org/officeDocument/2006/relationships/hyperlink" Target="https://stats.espncricinfo.com/ci/content/ground/58056.html" TargetMode="External"/><Relationship Id="rId108" Type="http://schemas.openxmlformats.org/officeDocument/2006/relationships/hyperlink" Target="https://stats.espncricinfo.com/ci/content/team/2.html" TargetMode="External"/><Relationship Id="rId54" Type="http://schemas.openxmlformats.org/officeDocument/2006/relationships/hyperlink" Target="https://stats.espncricinfo.com/ci/content/ground/485865.html" TargetMode="External"/><Relationship Id="rId96" Type="http://schemas.openxmlformats.org/officeDocument/2006/relationships/hyperlink" Target="https://stats.espncricinfo.com/ci/content/team/2.html" TargetMode="External"/><Relationship Id="rId161" Type="http://schemas.openxmlformats.org/officeDocument/2006/relationships/hyperlink" Target="https://stats.espncricinfo.com/ci/content/team/2.html" TargetMode="External"/><Relationship Id="rId217" Type="http://schemas.openxmlformats.org/officeDocument/2006/relationships/hyperlink" Target="https://stats.espncricinfo.com/ci/content/team/3.html" TargetMode="External"/><Relationship Id="rId259" Type="http://schemas.openxmlformats.org/officeDocument/2006/relationships/hyperlink" Target="https://stats.espncricinfo.com/ci/content/team/2.html" TargetMode="External"/><Relationship Id="rId23" Type="http://schemas.openxmlformats.org/officeDocument/2006/relationships/hyperlink" Target="https://stats.espncricinfo.com/ci/content/ground/57127.html" TargetMode="External"/><Relationship Id="rId119" Type="http://schemas.openxmlformats.org/officeDocument/2006/relationships/hyperlink" Target="https://stats.espncricinfo.com/ci/content/team/2.html" TargetMode="External"/><Relationship Id="rId270" Type="http://schemas.openxmlformats.org/officeDocument/2006/relationships/hyperlink" Target="https://stats.espncricinfo.com/ci/content/team/5.html" TargetMode="External"/><Relationship Id="rId44" Type="http://schemas.openxmlformats.org/officeDocument/2006/relationships/hyperlink" Target="https://stats.espncricinfo.com/ci/content/ground/59079.html" TargetMode="External"/><Relationship Id="rId65" Type="http://schemas.openxmlformats.org/officeDocument/2006/relationships/hyperlink" Target="https://stats.espncricinfo.com/ci/content/ground/57160.html" TargetMode="External"/><Relationship Id="rId86" Type="http://schemas.openxmlformats.org/officeDocument/2006/relationships/hyperlink" Target="https://stats.espncricinfo.com/ci/content/ground/58040.html" TargetMode="External"/><Relationship Id="rId130" Type="http://schemas.openxmlformats.org/officeDocument/2006/relationships/hyperlink" Target="https://stats.espncricinfo.com/ci/content/team/4.html" TargetMode="External"/><Relationship Id="rId151" Type="http://schemas.openxmlformats.org/officeDocument/2006/relationships/hyperlink" Target="https://stats.espncricinfo.com/ci/content/team/3.html" TargetMode="External"/><Relationship Id="rId172" Type="http://schemas.openxmlformats.org/officeDocument/2006/relationships/hyperlink" Target="https://stats.espncricinfo.com/ci/content/team/7.html" TargetMode="External"/><Relationship Id="rId193" Type="http://schemas.openxmlformats.org/officeDocument/2006/relationships/hyperlink" Target="https://stats.espncricinfo.com/ci/content/team/1.html" TargetMode="External"/><Relationship Id="rId207" Type="http://schemas.openxmlformats.org/officeDocument/2006/relationships/hyperlink" Target="https://stats.espncricinfo.com/ci/content/team/2.html" TargetMode="External"/><Relationship Id="rId228" Type="http://schemas.openxmlformats.org/officeDocument/2006/relationships/hyperlink" Target="https://stats.espncricinfo.com/ci/content/team/2.html" TargetMode="External"/><Relationship Id="rId249" Type="http://schemas.openxmlformats.org/officeDocument/2006/relationships/hyperlink" Target="https://stats.espncricinfo.com/ci/content/team/2.html" TargetMode="External"/><Relationship Id="rId13" Type="http://schemas.openxmlformats.org/officeDocument/2006/relationships/hyperlink" Target="https://stats.espncricinfo.com/ci/content/ground/58040.html" TargetMode="External"/><Relationship Id="rId109" Type="http://schemas.openxmlformats.org/officeDocument/2006/relationships/hyperlink" Target="https://stats.espncricinfo.com/ci/content/team/8.html" TargetMode="External"/><Relationship Id="rId260" Type="http://schemas.openxmlformats.org/officeDocument/2006/relationships/hyperlink" Target="https://stats.espncricinfo.com/ci/content/team/2.html" TargetMode="External"/><Relationship Id="rId281" Type="http://schemas.openxmlformats.org/officeDocument/2006/relationships/hyperlink" Target="https://stats.espncricinfo.com/ci/content/ground/56788.html" TargetMode="External"/><Relationship Id="rId34" Type="http://schemas.openxmlformats.org/officeDocument/2006/relationships/hyperlink" Target="https://stats.espncricinfo.com/ci/content/ground/545380.html" TargetMode="External"/><Relationship Id="rId55" Type="http://schemas.openxmlformats.org/officeDocument/2006/relationships/hyperlink" Target="https://stats.espncricinfo.com/ci/content/ground/57991.html" TargetMode="External"/><Relationship Id="rId76" Type="http://schemas.openxmlformats.org/officeDocument/2006/relationships/hyperlink" Target="https://stats.espncricinfo.com/ci/content/ground/59147.html" TargetMode="External"/><Relationship Id="rId97" Type="http://schemas.openxmlformats.org/officeDocument/2006/relationships/hyperlink" Target="https://stats.espncricinfo.com/ci/content/team/5.html" TargetMode="External"/><Relationship Id="rId120" Type="http://schemas.openxmlformats.org/officeDocument/2006/relationships/hyperlink" Target="https://stats.espncricinfo.com/ci/content/team/5.html" TargetMode="External"/><Relationship Id="rId141" Type="http://schemas.openxmlformats.org/officeDocument/2006/relationships/hyperlink" Target="https://stats.espncricinfo.com/ci/content/team/4.html" TargetMode="External"/><Relationship Id="rId7" Type="http://schemas.openxmlformats.org/officeDocument/2006/relationships/hyperlink" Target="https://stats.espncricinfo.com/ci/engine/player/625383.html?class=2;orderby=start;orderbyad=reverse;template=results;type=bowling;view=innings" TargetMode="External"/><Relationship Id="rId162" Type="http://schemas.openxmlformats.org/officeDocument/2006/relationships/hyperlink" Target="https://stats.espncricinfo.com/ci/content/team/2.html" TargetMode="External"/><Relationship Id="rId183" Type="http://schemas.openxmlformats.org/officeDocument/2006/relationships/hyperlink" Target="https://stats.espncricinfo.com/ci/content/team/2.html" TargetMode="External"/><Relationship Id="rId218" Type="http://schemas.openxmlformats.org/officeDocument/2006/relationships/hyperlink" Target="https://stats.espncricinfo.com/ci/content/team/3.html" TargetMode="External"/><Relationship Id="rId239" Type="http://schemas.openxmlformats.org/officeDocument/2006/relationships/hyperlink" Target="https://stats.espncricinfo.com/ci/content/team/25.html" TargetMode="External"/><Relationship Id="rId250" Type="http://schemas.openxmlformats.org/officeDocument/2006/relationships/hyperlink" Target="https://stats.espncricinfo.com/ci/content/team/2.html" TargetMode="External"/><Relationship Id="rId271" Type="http://schemas.openxmlformats.org/officeDocument/2006/relationships/hyperlink" Target="https://stats.espncricinfo.com/ci/content/team/2.html" TargetMode="External"/><Relationship Id="rId292" Type="http://schemas.openxmlformats.org/officeDocument/2006/relationships/hyperlink" Target="https://stats.espncricinfo.com/ci/content/ground/57127.html" TargetMode="External"/><Relationship Id="rId306" Type="http://schemas.openxmlformats.org/officeDocument/2006/relationships/hyperlink" Target="https://stats.espncricinfo.com/ci/content/ground/58324.html" TargetMode="External"/><Relationship Id="rId24" Type="http://schemas.openxmlformats.org/officeDocument/2006/relationships/hyperlink" Target="https://stats.espncricinfo.com/ci/content/ground/59368.html" TargetMode="External"/><Relationship Id="rId45" Type="http://schemas.openxmlformats.org/officeDocument/2006/relationships/hyperlink" Target="https://stats.espncricinfo.com/ci/content/ground/392627.html" TargetMode="External"/><Relationship Id="rId66" Type="http://schemas.openxmlformats.org/officeDocument/2006/relationships/hyperlink" Target="https://stats.espncricinfo.com/ci/content/ground/58324.html" TargetMode="External"/><Relationship Id="rId87" Type="http://schemas.openxmlformats.org/officeDocument/2006/relationships/hyperlink" Target="https://stats.espncricinfo.com/ci/content/ground/57851.html" TargetMode="External"/><Relationship Id="rId110" Type="http://schemas.openxmlformats.org/officeDocument/2006/relationships/hyperlink" Target="https://stats.espncricinfo.com/ci/content/team/8.html" TargetMode="External"/><Relationship Id="rId131" Type="http://schemas.openxmlformats.org/officeDocument/2006/relationships/hyperlink" Target="https://stats.espncricinfo.com/ci/content/team/40.html" TargetMode="External"/><Relationship Id="rId152" Type="http://schemas.openxmlformats.org/officeDocument/2006/relationships/hyperlink" Target="https://stats.espncricinfo.com/ci/content/team/3.html" TargetMode="External"/><Relationship Id="rId173" Type="http://schemas.openxmlformats.org/officeDocument/2006/relationships/hyperlink" Target="https://stats.espncricinfo.com/ci/content/team/1.html" TargetMode="External"/><Relationship Id="rId194" Type="http://schemas.openxmlformats.org/officeDocument/2006/relationships/hyperlink" Target="https://stats.espncricinfo.com/ci/content/team/1.html" TargetMode="External"/><Relationship Id="rId208" Type="http://schemas.openxmlformats.org/officeDocument/2006/relationships/hyperlink" Target="https://stats.espncricinfo.com/ci/content/team/2.html" TargetMode="External"/><Relationship Id="rId229" Type="http://schemas.openxmlformats.org/officeDocument/2006/relationships/hyperlink" Target="https://stats.espncricinfo.com/ci/content/team/2.html" TargetMode="External"/><Relationship Id="rId240" Type="http://schemas.openxmlformats.org/officeDocument/2006/relationships/hyperlink" Target="https://stats.espncricinfo.com/ci/content/team/8.html" TargetMode="External"/><Relationship Id="rId261" Type="http://schemas.openxmlformats.org/officeDocument/2006/relationships/hyperlink" Target="https://stats.espncricinfo.com/ci/content/team/2.html" TargetMode="External"/><Relationship Id="rId14" Type="http://schemas.openxmlformats.org/officeDocument/2006/relationships/hyperlink" Target="https://stats.espncricinfo.com/ci/content/ground/57991.html" TargetMode="External"/><Relationship Id="rId35" Type="http://schemas.openxmlformats.org/officeDocument/2006/relationships/hyperlink" Target="https://stats.espncricinfo.com/ci/content/ground/58204.html" TargetMode="External"/><Relationship Id="rId56" Type="http://schemas.openxmlformats.org/officeDocument/2006/relationships/hyperlink" Target="https://stats.espncricinfo.com/ci/content/ground/58040.html" TargetMode="External"/><Relationship Id="rId77" Type="http://schemas.openxmlformats.org/officeDocument/2006/relationships/hyperlink" Target="https://stats.espncricinfo.com/ci/content/ground/59068.html" TargetMode="External"/><Relationship Id="rId100" Type="http://schemas.openxmlformats.org/officeDocument/2006/relationships/hyperlink" Target="https://stats.espncricinfo.com/ci/content/team/8.html" TargetMode="External"/><Relationship Id="rId282" Type="http://schemas.openxmlformats.org/officeDocument/2006/relationships/hyperlink" Target="https://stats.espncricinfo.com/ci/content/ground/57127.html" TargetMode="External"/><Relationship Id="rId8" Type="http://schemas.openxmlformats.org/officeDocument/2006/relationships/hyperlink" Target="https://stats.espncricinfo.com/ci/content/ground/56544.html" TargetMode="External"/><Relationship Id="rId98" Type="http://schemas.openxmlformats.org/officeDocument/2006/relationships/hyperlink" Target="https://stats.espncricinfo.com/ci/content/team/15.html" TargetMode="External"/><Relationship Id="rId121" Type="http://schemas.openxmlformats.org/officeDocument/2006/relationships/hyperlink" Target="https://stats.espncricinfo.com/ci/content/team/5.html" TargetMode="External"/><Relationship Id="rId142" Type="http://schemas.openxmlformats.org/officeDocument/2006/relationships/hyperlink" Target="https://stats.espncricinfo.com/ci/content/team/4.html" TargetMode="External"/><Relationship Id="rId163" Type="http://schemas.openxmlformats.org/officeDocument/2006/relationships/hyperlink" Target="https://stats.espncricinfo.com/ci/content/team/8.html" TargetMode="External"/><Relationship Id="rId184" Type="http://schemas.openxmlformats.org/officeDocument/2006/relationships/hyperlink" Target="https://stats.espncricinfo.com/ci/content/team/2.html" TargetMode="External"/><Relationship Id="rId219" Type="http://schemas.openxmlformats.org/officeDocument/2006/relationships/hyperlink" Target="https://stats.espncricinfo.com/ci/content/team/3.html" TargetMode="External"/><Relationship Id="rId230" Type="http://schemas.openxmlformats.org/officeDocument/2006/relationships/hyperlink" Target="https://stats.espncricinfo.com/ci/content/team/2.html" TargetMode="External"/><Relationship Id="rId251" Type="http://schemas.openxmlformats.org/officeDocument/2006/relationships/hyperlink" Target="https://stats.espncricinfo.com/ci/content/team/3.html" TargetMode="External"/><Relationship Id="rId25" Type="http://schemas.openxmlformats.org/officeDocument/2006/relationships/hyperlink" Target="https://stats.espncricinfo.com/ci/content/ground/434211.html" TargetMode="External"/><Relationship Id="rId46" Type="http://schemas.openxmlformats.org/officeDocument/2006/relationships/hyperlink" Target="https://stats.espncricinfo.com/ci/content/ground/392627.html" TargetMode="External"/><Relationship Id="rId67" Type="http://schemas.openxmlformats.org/officeDocument/2006/relationships/hyperlink" Target="https://stats.espncricinfo.com/ci/content/ground/377285.html" TargetMode="External"/><Relationship Id="rId272" Type="http://schemas.openxmlformats.org/officeDocument/2006/relationships/hyperlink" Target="https://stats.espncricinfo.com/ci/content/ground/56544.html" TargetMode="External"/><Relationship Id="rId293" Type="http://schemas.openxmlformats.org/officeDocument/2006/relationships/hyperlink" Target="https://stats.espncricinfo.com/ci/content/ground/57129.html" TargetMode="External"/><Relationship Id="rId307" Type="http://schemas.openxmlformats.org/officeDocument/2006/relationships/hyperlink" Target="https://stats.espncricinfo.com/ci/content/ground/58831.html" TargetMode="External"/><Relationship Id="rId88" Type="http://schemas.openxmlformats.org/officeDocument/2006/relationships/hyperlink" Target="https://stats.espncricinfo.com/ci/content/ground/545380.html" TargetMode="External"/><Relationship Id="rId111" Type="http://schemas.openxmlformats.org/officeDocument/2006/relationships/hyperlink" Target="https://stats.espncricinfo.com/ci/content/team/7.html" TargetMode="External"/><Relationship Id="rId132" Type="http://schemas.openxmlformats.org/officeDocument/2006/relationships/hyperlink" Target="https://stats.espncricinfo.com/ci/content/team/7.html" TargetMode="External"/><Relationship Id="rId153" Type="http://schemas.openxmlformats.org/officeDocument/2006/relationships/hyperlink" Target="https://stats.espncricinfo.com/ci/content/team/8.html" TargetMode="External"/><Relationship Id="rId174" Type="http://schemas.openxmlformats.org/officeDocument/2006/relationships/hyperlink" Target="https://stats.espncricinfo.com/ci/content/team/1.html" TargetMode="External"/><Relationship Id="rId195" Type="http://schemas.openxmlformats.org/officeDocument/2006/relationships/hyperlink" Target="https://stats.espncricinfo.com/ci/content/team/7.html" TargetMode="External"/><Relationship Id="rId209" Type="http://schemas.openxmlformats.org/officeDocument/2006/relationships/hyperlink" Target="https://stats.espncricinfo.com/ci/content/team/5.html" TargetMode="External"/><Relationship Id="rId220" Type="http://schemas.openxmlformats.org/officeDocument/2006/relationships/hyperlink" Target="https://stats.espncricinfo.com/ci/content/team/3.html" TargetMode="External"/><Relationship Id="rId241" Type="http://schemas.openxmlformats.org/officeDocument/2006/relationships/hyperlink" Target="https://stats.espncricinfo.com/ci/content/team/5.html" TargetMode="External"/><Relationship Id="rId15" Type="http://schemas.openxmlformats.org/officeDocument/2006/relationships/hyperlink" Target="https://stats.espncricinfo.com/ci/content/ground/58547.html" TargetMode="External"/><Relationship Id="rId36" Type="http://schemas.openxmlformats.org/officeDocument/2006/relationships/hyperlink" Target="https://stats.espncricinfo.com/ci/content/ground/58056.html" TargetMode="External"/><Relationship Id="rId57" Type="http://schemas.openxmlformats.org/officeDocument/2006/relationships/hyperlink" Target="https://stats.espncricinfo.com/ci/content/ground/57312.html" TargetMode="External"/><Relationship Id="rId262" Type="http://schemas.openxmlformats.org/officeDocument/2006/relationships/hyperlink" Target="https://stats.espncricinfo.com/ci/content/team/40.html" TargetMode="External"/><Relationship Id="rId283" Type="http://schemas.openxmlformats.org/officeDocument/2006/relationships/hyperlink" Target="https://stats.espncricinfo.com/ci/content/ground/59368.html" TargetMode="External"/><Relationship Id="rId78" Type="http://schemas.openxmlformats.org/officeDocument/2006/relationships/hyperlink" Target="https://stats.espncricinfo.com/ci/content/ground/57127.html" TargetMode="External"/><Relationship Id="rId99" Type="http://schemas.openxmlformats.org/officeDocument/2006/relationships/hyperlink" Target="https://stats.espncricinfo.com/ci/content/team/3.html" TargetMode="External"/><Relationship Id="rId101" Type="http://schemas.openxmlformats.org/officeDocument/2006/relationships/hyperlink" Target="https://stats.espncricinfo.com/ci/content/team/1.html" TargetMode="External"/><Relationship Id="rId122" Type="http://schemas.openxmlformats.org/officeDocument/2006/relationships/hyperlink" Target="https://stats.espncricinfo.com/ci/content/team/5.html" TargetMode="External"/><Relationship Id="rId143" Type="http://schemas.openxmlformats.org/officeDocument/2006/relationships/hyperlink" Target="https://stats.espncricinfo.com/ci/content/team/25.html" TargetMode="External"/><Relationship Id="rId164" Type="http://schemas.openxmlformats.org/officeDocument/2006/relationships/hyperlink" Target="https://stats.espncricinfo.com/ci/content/team/8.html" TargetMode="External"/><Relationship Id="rId185" Type="http://schemas.openxmlformats.org/officeDocument/2006/relationships/hyperlink" Target="https://stats.espncricinfo.com/ci/content/team/9.html" TargetMode="External"/><Relationship Id="rId9" Type="http://schemas.openxmlformats.org/officeDocument/2006/relationships/hyperlink" Target="https://stats.espncricinfo.com/ci/content/ground/59545.html" TargetMode="External"/><Relationship Id="rId210" Type="http://schemas.openxmlformats.org/officeDocument/2006/relationships/hyperlink" Target="https://stats.espncricinfo.com/ci/content/team/5.html" TargetMode="External"/><Relationship Id="rId26" Type="http://schemas.openxmlformats.org/officeDocument/2006/relationships/hyperlink" Target="https://stats.espncricinfo.com/ci/content/ground/434211.html" TargetMode="External"/><Relationship Id="rId231" Type="http://schemas.openxmlformats.org/officeDocument/2006/relationships/hyperlink" Target="https://stats.espncricinfo.com/ci/content/team/2.html" TargetMode="External"/><Relationship Id="rId252" Type="http://schemas.openxmlformats.org/officeDocument/2006/relationships/hyperlink" Target="https://stats.espncricinfo.com/ci/content/team/3.html" TargetMode="External"/><Relationship Id="rId273" Type="http://schemas.openxmlformats.org/officeDocument/2006/relationships/hyperlink" Target="https://stats.espncricinfo.com/ci/content/ground/59545.html" TargetMode="External"/><Relationship Id="rId294" Type="http://schemas.openxmlformats.org/officeDocument/2006/relationships/hyperlink" Target="https://stats.espncricinfo.com/ci/content/ground/59306.html" TargetMode="External"/><Relationship Id="rId308" Type="http://schemas.openxmlformats.org/officeDocument/2006/relationships/hyperlink" Target="https://stats.espncricinfo.com/ci/content/ground/59147.html" TargetMode="External"/><Relationship Id="rId47" Type="http://schemas.openxmlformats.org/officeDocument/2006/relationships/hyperlink" Target="https://stats.espncricinfo.com/ci/content/ground/392627.html" TargetMode="External"/><Relationship Id="rId68" Type="http://schemas.openxmlformats.org/officeDocument/2006/relationships/hyperlink" Target="https://stats.espncricinfo.com/ci/content/ground/57897.html" TargetMode="External"/><Relationship Id="rId89" Type="http://schemas.openxmlformats.org/officeDocument/2006/relationships/hyperlink" Target="https://stats.espncricinfo.com/ci/content/ground/58056.html" TargetMode="External"/><Relationship Id="rId112" Type="http://schemas.openxmlformats.org/officeDocument/2006/relationships/hyperlink" Target="https://stats.espncricinfo.com/ci/content/team/1.html" TargetMode="External"/><Relationship Id="rId133" Type="http://schemas.openxmlformats.org/officeDocument/2006/relationships/hyperlink" Target="https://stats.espncricinfo.com/ci/content/team/2.html" TargetMode="External"/><Relationship Id="rId154" Type="http://schemas.openxmlformats.org/officeDocument/2006/relationships/hyperlink" Target="https://stats.espncricinfo.com/ci/content/team/8.html" TargetMode="External"/><Relationship Id="rId175" Type="http://schemas.openxmlformats.org/officeDocument/2006/relationships/hyperlink" Target="https://stats.espncricinfo.com/ci/content/team/1.html" TargetMode="External"/><Relationship Id="rId196" Type="http://schemas.openxmlformats.org/officeDocument/2006/relationships/hyperlink" Target="https://stats.espncricinfo.com/ci/content/team/8.html" TargetMode="External"/><Relationship Id="rId200" Type="http://schemas.openxmlformats.org/officeDocument/2006/relationships/hyperlink" Target="https://stats.espncricinfo.com/ci/content/team/8.html" TargetMode="External"/><Relationship Id="rId16" Type="http://schemas.openxmlformats.org/officeDocument/2006/relationships/hyperlink" Target="https://stats.espncricinfo.com/ci/content/ground/545380.html" TargetMode="External"/><Relationship Id="rId221" Type="http://schemas.openxmlformats.org/officeDocument/2006/relationships/hyperlink" Target="https://stats.espncricinfo.com/ci/content/team/7.html" TargetMode="External"/><Relationship Id="rId242" Type="http://schemas.openxmlformats.org/officeDocument/2006/relationships/hyperlink" Target="https://stats.espncricinfo.com/ci/content/team/2.html" TargetMode="External"/><Relationship Id="rId263" Type="http://schemas.openxmlformats.org/officeDocument/2006/relationships/hyperlink" Target="https://stats.espncricinfo.com/ci/content/team/7.html" TargetMode="External"/><Relationship Id="rId284" Type="http://schemas.openxmlformats.org/officeDocument/2006/relationships/hyperlink" Target="https://stats.espncricinfo.com/ci/content/ground/58008.html" TargetMode="External"/><Relationship Id="rId37" Type="http://schemas.openxmlformats.org/officeDocument/2006/relationships/hyperlink" Target="https://stats.espncricinfo.com/ci/content/ground/57991.html" TargetMode="External"/><Relationship Id="rId58" Type="http://schemas.openxmlformats.org/officeDocument/2006/relationships/hyperlink" Target="https://stats.espncricinfo.com/ci/content/ground/57127.html" TargetMode="External"/><Relationship Id="rId79" Type="http://schemas.openxmlformats.org/officeDocument/2006/relationships/hyperlink" Target="https://stats.espncricinfo.com/ci/content/ground/57129.html" TargetMode="External"/><Relationship Id="rId102" Type="http://schemas.openxmlformats.org/officeDocument/2006/relationships/hyperlink" Target="https://stats.espncricinfo.com/ci/content/team/5.html" TargetMode="External"/><Relationship Id="rId123" Type="http://schemas.openxmlformats.org/officeDocument/2006/relationships/hyperlink" Target="https://stats.espncricinfo.com/ci/content/team/2.html" TargetMode="External"/><Relationship Id="rId144" Type="http://schemas.openxmlformats.org/officeDocument/2006/relationships/hyperlink" Target="https://stats.espncricinfo.com/ci/content/team/7.html" TargetMode="External"/><Relationship Id="rId90" Type="http://schemas.openxmlformats.org/officeDocument/2006/relationships/hyperlink" Target="https://stats.espncricinfo.com/ci/content/ground/1070094.html" TargetMode="External"/><Relationship Id="rId165" Type="http://schemas.openxmlformats.org/officeDocument/2006/relationships/hyperlink" Target="https://stats.espncricinfo.com/ci/content/team/8.html" TargetMode="External"/><Relationship Id="rId186" Type="http://schemas.openxmlformats.org/officeDocument/2006/relationships/hyperlink" Target="https://stats.espncricinfo.com/ci/content/team/9.html" TargetMode="External"/><Relationship Id="rId211" Type="http://schemas.openxmlformats.org/officeDocument/2006/relationships/hyperlink" Target="https://stats.espncricinfo.com/ci/content/team/5.html" TargetMode="External"/><Relationship Id="rId232" Type="http://schemas.openxmlformats.org/officeDocument/2006/relationships/hyperlink" Target="https://stats.espncricinfo.com/ci/content/team/2.html" TargetMode="External"/><Relationship Id="rId253" Type="http://schemas.openxmlformats.org/officeDocument/2006/relationships/hyperlink" Target="https://stats.espncricinfo.com/ci/content/team/3.html" TargetMode="External"/><Relationship Id="rId274" Type="http://schemas.openxmlformats.org/officeDocument/2006/relationships/hyperlink" Target="https://stats.espncricinfo.com/ci/content/ground/59545.html" TargetMode="External"/><Relationship Id="rId295" Type="http://schemas.openxmlformats.org/officeDocument/2006/relationships/hyperlink" Target="https://stats.espncricinfo.com/ci/content/ground/59306.html" TargetMode="External"/><Relationship Id="rId309" Type="http://schemas.openxmlformats.org/officeDocument/2006/relationships/hyperlink" Target="https://stats.espncricinfo.com/ci/content/ground/57991.html" TargetMode="External"/><Relationship Id="rId27" Type="http://schemas.openxmlformats.org/officeDocument/2006/relationships/hyperlink" Target="https://stats.espncricinfo.com/ci/content/ground/59306.html" TargetMode="External"/><Relationship Id="rId48" Type="http://schemas.openxmlformats.org/officeDocument/2006/relationships/hyperlink" Target="https://stats.espncricinfo.com/ci/content/ground/392627.html" TargetMode="External"/><Relationship Id="rId69" Type="http://schemas.openxmlformats.org/officeDocument/2006/relationships/hyperlink" Target="https://stats.espncricinfo.com/ci/content/ground/58831.html" TargetMode="External"/><Relationship Id="rId113" Type="http://schemas.openxmlformats.org/officeDocument/2006/relationships/hyperlink" Target="https://stats.espncricinfo.com/ci/content/team/1.html" TargetMode="External"/><Relationship Id="rId134" Type="http://schemas.openxmlformats.org/officeDocument/2006/relationships/hyperlink" Target="https://stats.espncricinfo.com/ci/content/team/3.html" TargetMode="External"/><Relationship Id="rId80" Type="http://schemas.openxmlformats.org/officeDocument/2006/relationships/hyperlink" Target="https://stats.espncricinfo.com/ci/content/ground/59306.html" TargetMode="External"/><Relationship Id="rId155" Type="http://schemas.openxmlformats.org/officeDocument/2006/relationships/hyperlink" Target="https://stats.espncricinfo.com/ci/content/team/8.html" TargetMode="External"/><Relationship Id="rId176" Type="http://schemas.openxmlformats.org/officeDocument/2006/relationships/hyperlink" Target="https://stats.espncricinfo.com/ci/content/team/5.html" TargetMode="External"/><Relationship Id="rId197" Type="http://schemas.openxmlformats.org/officeDocument/2006/relationships/hyperlink" Target="https://stats.espncricinfo.com/ci/content/team/3.html" TargetMode="External"/><Relationship Id="rId201" Type="http://schemas.openxmlformats.org/officeDocument/2006/relationships/hyperlink" Target="https://stats.espncricinfo.com/ci/content/team/8.html" TargetMode="External"/><Relationship Id="rId222" Type="http://schemas.openxmlformats.org/officeDocument/2006/relationships/hyperlink" Target="https://stats.espncricinfo.com/ci/content/team/25.html" TargetMode="External"/><Relationship Id="rId243" Type="http://schemas.openxmlformats.org/officeDocument/2006/relationships/hyperlink" Target="https://stats.espncricinfo.com/ci/content/team/2.html" TargetMode="External"/><Relationship Id="rId264" Type="http://schemas.openxmlformats.org/officeDocument/2006/relationships/hyperlink" Target="https://stats.espncricinfo.com/ci/content/team/25.html" TargetMode="External"/><Relationship Id="rId285" Type="http://schemas.openxmlformats.org/officeDocument/2006/relationships/hyperlink" Target="https://stats.espncricinfo.com/ci/content/ground/59089.html" TargetMode="External"/><Relationship Id="rId17" Type="http://schemas.openxmlformats.org/officeDocument/2006/relationships/hyperlink" Target="https://stats.espncricinfo.com/ci/content/ground/58027.html" TargetMode="External"/><Relationship Id="rId38" Type="http://schemas.openxmlformats.org/officeDocument/2006/relationships/hyperlink" Target="https://stats.espncricinfo.com/ci/content/ground/58547.html" TargetMode="External"/><Relationship Id="rId59" Type="http://schemas.openxmlformats.org/officeDocument/2006/relationships/hyperlink" Target="https://stats.espncricinfo.com/ci/content/ground/57160.html" TargetMode="External"/><Relationship Id="rId103" Type="http://schemas.openxmlformats.org/officeDocument/2006/relationships/hyperlink" Target="https://stats.espncricinfo.com/ci/content/team/25.html" TargetMode="External"/><Relationship Id="rId124" Type="http://schemas.openxmlformats.org/officeDocument/2006/relationships/hyperlink" Target="https://stats.espncricinfo.com/ci/content/team/2.html" TargetMode="External"/><Relationship Id="rId310" Type="http://schemas.openxmlformats.org/officeDocument/2006/relationships/drawing" Target="../drawings/drawing1.xml"/><Relationship Id="rId70" Type="http://schemas.openxmlformats.org/officeDocument/2006/relationships/hyperlink" Target="https://stats.espncricinfo.com/ci/content/ground/58792.html" TargetMode="External"/><Relationship Id="rId91" Type="http://schemas.openxmlformats.org/officeDocument/2006/relationships/hyperlink" Target="https://stats.espncricinfo.com/ci/content/ground/58324.html" TargetMode="External"/><Relationship Id="rId145" Type="http://schemas.openxmlformats.org/officeDocument/2006/relationships/hyperlink" Target="https://stats.espncricinfo.com/ci/content/team/25.html" TargetMode="External"/><Relationship Id="rId166" Type="http://schemas.openxmlformats.org/officeDocument/2006/relationships/hyperlink" Target="https://stats.espncricinfo.com/ci/content/team/8.html" TargetMode="External"/><Relationship Id="rId187" Type="http://schemas.openxmlformats.org/officeDocument/2006/relationships/hyperlink" Target="https://stats.espncricinfo.com/ci/content/team/9.html" TargetMode="External"/><Relationship Id="rId1" Type="http://schemas.openxmlformats.org/officeDocument/2006/relationships/hyperlink" Target="https://stats.espncricinfo.com/ci/engine/player/625383.html?class=2;orderby=overs;template=results;type=bowling;view=innings" TargetMode="External"/><Relationship Id="rId212" Type="http://schemas.openxmlformats.org/officeDocument/2006/relationships/hyperlink" Target="https://stats.espncricinfo.com/ci/content/team/8.html" TargetMode="External"/><Relationship Id="rId233" Type="http://schemas.openxmlformats.org/officeDocument/2006/relationships/hyperlink" Target="https://stats.espncricinfo.com/ci/content/team/3.html" TargetMode="External"/><Relationship Id="rId254" Type="http://schemas.openxmlformats.org/officeDocument/2006/relationships/hyperlink" Target="https://stats.espncricinfo.com/ci/content/team/1.html" TargetMode="External"/><Relationship Id="rId28" Type="http://schemas.openxmlformats.org/officeDocument/2006/relationships/hyperlink" Target="https://stats.espncricinfo.com/ci/content/ground/59306.html" TargetMode="External"/><Relationship Id="rId49" Type="http://schemas.openxmlformats.org/officeDocument/2006/relationships/hyperlink" Target="https://stats.espncricinfo.com/ci/content/ground/545380.html" TargetMode="External"/><Relationship Id="rId114" Type="http://schemas.openxmlformats.org/officeDocument/2006/relationships/hyperlink" Target="https://stats.espncricinfo.com/ci/content/team/3.html" TargetMode="External"/><Relationship Id="rId275" Type="http://schemas.openxmlformats.org/officeDocument/2006/relationships/hyperlink" Target="https://stats.espncricinfo.com/ci/content/ground/59545.html" TargetMode="External"/><Relationship Id="rId296" Type="http://schemas.openxmlformats.org/officeDocument/2006/relationships/hyperlink" Target="https://stats.espncricinfo.com/ci/content/ground/59306.html" TargetMode="External"/><Relationship Id="rId300" Type="http://schemas.openxmlformats.org/officeDocument/2006/relationships/hyperlink" Target="https://stats.espncricinfo.com/ci/content/ground/59368.html" TargetMode="External"/><Relationship Id="rId60" Type="http://schemas.openxmlformats.org/officeDocument/2006/relationships/hyperlink" Target="https://stats.espncricinfo.com/ci/content/ground/57312.html" TargetMode="External"/><Relationship Id="rId81" Type="http://schemas.openxmlformats.org/officeDocument/2006/relationships/hyperlink" Target="https://stats.espncricinfo.com/ci/content/ground/59306.html" TargetMode="External"/><Relationship Id="rId135" Type="http://schemas.openxmlformats.org/officeDocument/2006/relationships/hyperlink" Target="https://stats.espncricinfo.com/ci/content/team/2.html" TargetMode="External"/><Relationship Id="rId156" Type="http://schemas.openxmlformats.org/officeDocument/2006/relationships/hyperlink" Target="https://stats.espncricinfo.com/ci/content/team/5.html" TargetMode="External"/><Relationship Id="rId177" Type="http://schemas.openxmlformats.org/officeDocument/2006/relationships/hyperlink" Target="https://stats.espncricinfo.com/ci/content/team/5.html" TargetMode="External"/><Relationship Id="rId198" Type="http://schemas.openxmlformats.org/officeDocument/2006/relationships/hyperlink" Target="https://stats.espncricinfo.com/ci/content/team/25.html" TargetMode="External"/><Relationship Id="rId202" Type="http://schemas.openxmlformats.org/officeDocument/2006/relationships/hyperlink" Target="https://stats.espncricinfo.com/ci/content/team/8.html" TargetMode="External"/><Relationship Id="rId223" Type="http://schemas.openxmlformats.org/officeDocument/2006/relationships/hyperlink" Target="https://stats.espncricinfo.com/ci/content/team/7.html" TargetMode="External"/><Relationship Id="rId244" Type="http://schemas.openxmlformats.org/officeDocument/2006/relationships/hyperlink" Target="https://stats.espncricinfo.com/ci/content/team/2.html" TargetMode="External"/><Relationship Id="rId18" Type="http://schemas.openxmlformats.org/officeDocument/2006/relationships/hyperlink" Target="https://stats.espncricinfo.com/ci/content/ground/57980.html" TargetMode="External"/><Relationship Id="rId39" Type="http://schemas.openxmlformats.org/officeDocument/2006/relationships/hyperlink" Target="https://stats.espncricinfo.com/ci/content/ground/59089.html" TargetMode="External"/><Relationship Id="rId265" Type="http://schemas.openxmlformats.org/officeDocument/2006/relationships/hyperlink" Target="https://stats.espncricinfo.com/ci/content/team/5.html" TargetMode="External"/><Relationship Id="rId286" Type="http://schemas.openxmlformats.org/officeDocument/2006/relationships/hyperlink" Target="https://stats.espncricinfo.com/ci/content/ground/392627.html" TargetMode="External"/><Relationship Id="rId50" Type="http://schemas.openxmlformats.org/officeDocument/2006/relationships/hyperlink" Target="https://stats.espncricinfo.com/ci/content/ground/58317.html" TargetMode="External"/><Relationship Id="rId104" Type="http://schemas.openxmlformats.org/officeDocument/2006/relationships/hyperlink" Target="https://stats.espncricinfo.com/ci/content/team/7.html" TargetMode="External"/><Relationship Id="rId125" Type="http://schemas.openxmlformats.org/officeDocument/2006/relationships/hyperlink" Target="https://stats.espncricinfo.com/ci/content/team/2.html" TargetMode="External"/><Relationship Id="rId146" Type="http://schemas.openxmlformats.org/officeDocument/2006/relationships/hyperlink" Target="https://stats.espncricinfo.com/ci/content/team/7.html" TargetMode="External"/><Relationship Id="rId167" Type="http://schemas.openxmlformats.org/officeDocument/2006/relationships/hyperlink" Target="https://stats.espncricinfo.com/ci/content/team/8.html" TargetMode="External"/><Relationship Id="rId188" Type="http://schemas.openxmlformats.org/officeDocument/2006/relationships/hyperlink" Target="https://stats.espncricinfo.com/ci/content/team/5.html" TargetMode="External"/><Relationship Id="rId71" Type="http://schemas.openxmlformats.org/officeDocument/2006/relationships/hyperlink" Target="https://stats.espncricinfo.com/ci/content/ground/444258.html" TargetMode="External"/><Relationship Id="rId92" Type="http://schemas.openxmlformats.org/officeDocument/2006/relationships/hyperlink" Target="https://stats.espncricinfo.com/ci/content/ground/57980.html" TargetMode="External"/><Relationship Id="rId213" Type="http://schemas.openxmlformats.org/officeDocument/2006/relationships/hyperlink" Target="https://stats.espncricinfo.com/ci/content/team/8.html" TargetMode="External"/><Relationship Id="rId234" Type="http://schemas.openxmlformats.org/officeDocument/2006/relationships/hyperlink" Target="https://stats.espncricinfo.com/ci/content/team/2.html" TargetMode="External"/><Relationship Id="rId2" Type="http://schemas.openxmlformats.org/officeDocument/2006/relationships/hyperlink" Target="https://stats.espncricinfo.com/ci/engine/player/625383.html?class=2;orderby=maidens;template=results;type=bowling;view=innings" TargetMode="External"/><Relationship Id="rId29" Type="http://schemas.openxmlformats.org/officeDocument/2006/relationships/hyperlink" Target="https://stats.espncricinfo.com/ci/content/ground/58008.html" TargetMode="External"/><Relationship Id="rId255" Type="http://schemas.openxmlformats.org/officeDocument/2006/relationships/hyperlink" Target="https://stats.espncricinfo.com/ci/content/team/1.html" TargetMode="External"/><Relationship Id="rId276" Type="http://schemas.openxmlformats.org/officeDocument/2006/relationships/hyperlink" Target="https://stats.espncricinfo.com/ci/content/ground/58056.html" TargetMode="External"/><Relationship Id="rId297" Type="http://schemas.openxmlformats.org/officeDocument/2006/relationships/hyperlink" Target="https://stats.espncricinfo.com/ci/content/ground/57991.html" TargetMode="External"/><Relationship Id="rId40" Type="http://schemas.openxmlformats.org/officeDocument/2006/relationships/hyperlink" Target="https://stats.espncricinfo.com/ci/content/ground/59079.html" TargetMode="External"/><Relationship Id="rId115" Type="http://schemas.openxmlformats.org/officeDocument/2006/relationships/hyperlink" Target="https://stats.espncricinfo.com/ci/content/team/3.html" TargetMode="External"/><Relationship Id="rId136" Type="http://schemas.openxmlformats.org/officeDocument/2006/relationships/hyperlink" Target="https://stats.espncricinfo.com/ci/content/team/2.html" TargetMode="External"/><Relationship Id="rId157" Type="http://schemas.openxmlformats.org/officeDocument/2006/relationships/hyperlink" Target="https://stats.espncricinfo.com/ci/content/team/5.html" TargetMode="External"/><Relationship Id="rId178" Type="http://schemas.openxmlformats.org/officeDocument/2006/relationships/hyperlink" Target="https://stats.espncricinfo.com/ci/content/team/5.html" TargetMode="External"/><Relationship Id="rId301" Type="http://schemas.openxmlformats.org/officeDocument/2006/relationships/hyperlink" Target="https://stats.espncricinfo.com/ci/content/ground/58008.html" TargetMode="External"/><Relationship Id="rId61" Type="http://schemas.openxmlformats.org/officeDocument/2006/relationships/hyperlink" Target="https://stats.espncricinfo.com/ci/content/ground/57160.html" TargetMode="External"/><Relationship Id="rId82" Type="http://schemas.openxmlformats.org/officeDocument/2006/relationships/hyperlink" Target="https://stats.espncricinfo.com/ci/content/ground/59306.html" TargetMode="External"/><Relationship Id="rId199" Type="http://schemas.openxmlformats.org/officeDocument/2006/relationships/hyperlink" Target="https://stats.espncricinfo.com/ci/content/team/7.html" TargetMode="External"/><Relationship Id="rId203" Type="http://schemas.openxmlformats.org/officeDocument/2006/relationships/hyperlink" Target="https://stats.espncricinfo.com/ci/content/team/8.html" TargetMode="External"/><Relationship Id="rId19" Type="http://schemas.openxmlformats.org/officeDocument/2006/relationships/hyperlink" Target="https://stats.espncricinfo.com/ci/content/ground/56788.html" TargetMode="External"/><Relationship Id="rId224" Type="http://schemas.openxmlformats.org/officeDocument/2006/relationships/hyperlink" Target="https://stats.espncricinfo.com/ci/content/team/25.html" TargetMode="External"/><Relationship Id="rId245" Type="http://schemas.openxmlformats.org/officeDocument/2006/relationships/hyperlink" Target="https://stats.espncricinfo.com/ci/content/team/5.html" TargetMode="External"/><Relationship Id="rId266" Type="http://schemas.openxmlformats.org/officeDocument/2006/relationships/hyperlink" Target="https://stats.espncricinfo.com/ci/content/team/1.html" TargetMode="External"/><Relationship Id="rId287" Type="http://schemas.openxmlformats.org/officeDocument/2006/relationships/hyperlink" Target="https://stats.espncricinfo.com/ci/content/ground/545380.html" TargetMode="External"/><Relationship Id="rId30" Type="http://schemas.openxmlformats.org/officeDocument/2006/relationships/hyperlink" Target="https://stats.espncricinfo.com/ci/content/ground/57980.html" TargetMode="External"/><Relationship Id="rId105" Type="http://schemas.openxmlformats.org/officeDocument/2006/relationships/hyperlink" Target="https://stats.espncricinfo.com/ci/content/team/40.html" TargetMode="External"/><Relationship Id="rId126" Type="http://schemas.openxmlformats.org/officeDocument/2006/relationships/hyperlink" Target="https://stats.espncricinfo.com/ci/content/team/5.html" TargetMode="External"/><Relationship Id="rId147" Type="http://schemas.openxmlformats.org/officeDocument/2006/relationships/hyperlink" Target="https://stats.espncricinfo.com/ci/content/team/3.html" TargetMode="External"/><Relationship Id="rId168" Type="http://schemas.openxmlformats.org/officeDocument/2006/relationships/hyperlink" Target="https://stats.espncricinfo.com/ci/content/team/7.html" TargetMode="External"/><Relationship Id="rId51" Type="http://schemas.openxmlformats.org/officeDocument/2006/relationships/hyperlink" Target="https://stats.espncricinfo.com/ci/content/ground/1120086.html" TargetMode="External"/><Relationship Id="rId72" Type="http://schemas.openxmlformats.org/officeDocument/2006/relationships/hyperlink" Target="https://stats.espncricinfo.com/ci/content/ground/56544.html" TargetMode="External"/><Relationship Id="rId93" Type="http://schemas.openxmlformats.org/officeDocument/2006/relationships/hyperlink" Target="https://stats.espncricinfo.com/ci/content/ground/57897.html" TargetMode="External"/><Relationship Id="rId189" Type="http://schemas.openxmlformats.org/officeDocument/2006/relationships/hyperlink" Target="https://stats.espncricinfo.com/ci/content/team/5.html" TargetMode="External"/><Relationship Id="rId3" Type="http://schemas.openxmlformats.org/officeDocument/2006/relationships/hyperlink" Target="https://stats.espncricinfo.com/ci/engine/player/625383.html?class=2;orderby=conceded;template=results;type=bowling;view=innings" TargetMode="External"/><Relationship Id="rId214" Type="http://schemas.openxmlformats.org/officeDocument/2006/relationships/hyperlink" Target="https://stats.espncricinfo.com/ci/content/team/8.html" TargetMode="External"/><Relationship Id="rId235" Type="http://schemas.openxmlformats.org/officeDocument/2006/relationships/hyperlink" Target="https://stats.espncricinfo.com/ci/content/team/7.html" TargetMode="External"/><Relationship Id="rId256" Type="http://schemas.openxmlformats.org/officeDocument/2006/relationships/hyperlink" Target="https://stats.espncricinfo.com/ci/content/team/7.html" TargetMode="External"/><Relationship Id="rId277" Type="http://schemas.openxmlformats.org/officeDocument/2006/relationships/hyperlink" Target="https://stats.espncricinfo.com/ci/content/ground/58040.html" TargetMode="External"/><Relationship Id="rId298" Type="http://schemas.openxmlformats.org/officeDocument/2006/relationships/hyperlink" Target="https://stats.espncricinfo.com/ci/content/ground/545380.html" TargetMode="External"/><Relationship Id="rId116" Type="http://schemas.openxmlformats.org/officeDocument/2006/relationships/hyperlink" Target="https://stats.espncricinfo.com/ci/content/team/3.html" TargetMode="External"/><Relationship Id="rId137" Type="http://schemas.openxmlformats.org/officeDocument/2006/relationships/hyperlink" Target="https://stats.espncricinfo.com/ci/content/team/2.html" TargetMode="External"/><Relationship Id="rId158" Type="http://schemas.openxmlformats.org/officeDocument/2006/relationships/hyperlink" Target="https://stats.espncricinfo.com/ci/content/team/5.html" TargetMode="External"/><Relationship Id="rId302" Type="http://schemas.openxmlformats.org/officeDocument/2006/relationships/hyperlink" Target="https://stats.espncricinfo.com/ci/content/ground/59089.html" TargetMode="External"/><Relationship Id="rId20" Type="http://schemas.openxmlformats.org/officeDocument/2006/relationships/hyperlink" Target="https://stats.espncricinfo.com/ci/content/ground/57127.html" TargetMode="External"/><Relationship Id="rId41" Type="http://schemas.openxmlformats.org/officeDocument/2006/relationships/hyperlink" Target="https://stats.espncricinfo.com/ci/content/ground/59068.html" TargetMode="External"/><Relationship Id="rId62" Type="http://schemas.openxmlformats.org/officeDocument/2006/relationships/hyperlink" Target="https://stats.espncricinfo.com/ci/content/ground/56788.html" TargetMode="External"/><Relationship Id="rId83" Type="http://schemas.openxmlformats.org/officeDocument/2006/relationships/hyperlink" Target="https://stats.espncricinfo.com/ci/content/ground/57991.html" TargetMode="External"/><Relationship Id="rId179" Type="http://schemas.openxmlformats.org/officeDocument/2006/relationships/hyperlink" Target="https://stats.espncricinfo.com/ci/content/team/5.html" TargetMode="External"/><Relationship Id="rId190" Type="http://schemas.openxmlformats.org/officeDocument/2006/relationships/hyperlink" Target="https://stats.espncricinfo.com/ci/content/team/5.html" TargetMode="External"/><Relationship Id="rId204" Type="http://schemas.openxmlformats.org/officeDocument/2006/relationships/hyperlink" Target="https://stats.espncricinfo.com/ci/content/team/8.html" TargetMode="External"/><Relationship Id="rId225" Type="http://schemas.openxmlformats.org/officeDocument/2006/relationships/hyperlink" Target="https://stats.espncricinfo.com/ci/content/team/4.html" TargetMode="External"/><Relationship Id="rId246" Type="http://schemas.openxmlformats.org/officeDocument/2006/relationships/hyperlink" Target="https://stats.espncricinfo.com/ci/content/team/5.html" TargetMode="External"/><Relationship Id="rId267" Type="http://schemas.openxmlformats.org/officeDocument/2006/relationships/hyperlink" Target="https://stats.espncricinfo.com/ci/content/team/8.html" TargetMode="External"/><Relationship Id="rId288" Type="http://schemas.openxmlformats.org/officeDocument/2006/relationships/hyperlink" Target="https://stats.espncricinfo.com/ci/content/ground/57312.html" TargetMode="External"/><Relationship Id="rId106" Type="http://schemas.openxmlformats.org/officeDocument/2006/relationships/hyperlink" Target="https://stats.espncricinfo.com/ci/content/team/2.html" TargetMode="External"/><Relationship Id="rId127" Type="http://schemas.openxmlformats.org/officeDocument/2006/relationships/hyperlink" Target="https://stats.espncricinfo.com/ci/content/team/8.html" TargetMode="External"/><Relationship Id="rId10" Type="http://schemas.openxmlformats.org/officeDocument/2006/relationships/hyperlink" Target="https://stats.espncricinfo.com/ci/content/ground/59545.html" TargetMode="External"/><Relationship Id="rId31" Type="http://schemas.openxmlformats.org/officeDocument/2006/relationships/hyperlink" Target="https://stats.espncricinfo.com/ci/content/ground/58150.html" TargetMode="External"/><Relationship Id="rId52" Type="http://schemas.openxmlformats.org/officeDocument/2006/relationships/hyperlink" Target="https://stats.espncricinfo.com/ci/content/ground/58142.html" TargetMode="External"/><Relationship Id="rId73" Type="http://schemas.openxmlformats.org/officeDocument/2006/relationships/hyperlink" Target="https://stats.espncricinfo.com/ci/content/ground/56544.html" TargetMode="External"/><Relationship Id="rId94" Type="http://schemas.openxmlformats.org/officeDocument/2006/relationships/hyperlink" Target="https://stats.espncricinfo.com/ci/content/ground/58324.html" TargetMode="External"/><Relationship Id="rId148" Type="http://schemas.openxmlformats.org/officeDocument/2006/relationships/hyperlink" Target="https://stats.espncricinfo.com/ci/content/team/3.html" TargetMode="External"/><Relationship Id="rId169" Type="http://schemas.openxmlformats.org/officeDocument/2006/relationships/hyperlink" Target="https://stats.espncricinfo.com/ci/content/team/25.html" TargetMode="External"/><Relationship Id="rId4" Type="http://schemas.openxmlformats.org/officeDocument/2006/relationships/hyperlink" Target="https://stats.espncricinfo.com/ci/engine/player/625383.html?class=2;orderby=wickets;template=results;type=bowling;view=innings" TargetMode="External"/><Relationship Id="rId180" Type="http://schemas.openxmlformats.org/officeDocument/2006/relationships/hyperlink" Target="https://stats.espncricinfo.com/ci/content/team/9.html" TargetMode="External"/><Relationship Id="rId215" Type="http://schemas.openxmlformats.org/officeDocument/2006/relationships/hyperlink" Target="https://stats.espncricinfo.com/ci/content/team/3.html" TargetMode="External"/><Relationship Id="rId236" Type="http://schemas.openxmlformats.org/officeDocument/2006/relationships/hyperlink" Target="https://stats.espncricinfo.com/ci/content/team/40.html" TargetMode="External"/><Relationship Id="rId257" Type="http://schemas.openxmlformats.org/officeDocument/2006/relationships/hyperlink" Target="https://stats.espncricinfo.com/ci/content/team/8.html" TargetMode="External"/><Relationship Id="rId278" Type="http://schemas.openxmlformats.org/officeDocument/2006/relationships/hyperlink" Target="https://stats.espncricinfo.com/ci/content/ground/57991.html" TargetMode="External"/><Relationship Id="rId303" Type="http://schemas.openxmlformats.org/officeDocument/2006/relationships/hyperlink" Target="https://stats.espncricinfo.com/ci/content/ground/392627.html" TargetMode="External"/><Relationship Id="rId42" Type="http://schemas.openxmlformats.org/officeDocument/2006/relationships/hyperlink" Target="https://stats.espncricinfo.com/ci/content/ground/59120.html" TargetMode="External"/><Relationship Id="rId84" Type="http://schemas.openxmlformats.org/officeDocument/2006/relationships/hyperlink" Target="https://stats.espncricinfo.com/ci/content/ground/377285.html" TargetMode="External"/><Relationship Id="rId138" Type="http://schemas.openxmlformats.org/officeDocument/2006/relationships/hyperlink" Target="https://stats.espncricinfo.com/ci/content/team/2.html" TargetMode="External"/><Relationship Id="rId191" Type="http://schemas.openxmlformats.org/officeDocument/2006/relationships/hyperlink" Target="https://stats.espncricinfo.com/ci/content/team/5.html" TargetMode="External"/><Relationship Id="rId205" Type="http://schemas.openxmlformats.org/officeDocument/2006/relationships/hyperlink" Target="https://stats.espncricinfo.com/ci/content/team/2.html" TargetMode="External"/><Relationship Id="rId247" Type="http://schemas.openxmlformats.org/officeDocument/2006/relationships/hyperlink" Target="https://stats.espncricinfo.com/ci/content/team/5.html" TargetMode="External"/><Relationship Id="rId107" Type="http://schemas.openxmlformats.org/officeDocument/2006/relationships/hyperlink" Target="https://stats.espncricinfo.com/ci/content/team/2.html" TargetMode="External"/><Relationship Id="rId289" Type="http://schemas.openxmlformats.org/officeDocument/2006/relationships/hyperlink" Target="https://stats.espncricinfo.com/ci/content/ground/58324.html" TargetMode="External"/><Relationship Id="rId11" Type="http://schemas.openxmlformats.org/officeDocument/2006/relationships/hyperlink" Target="https://stats.espncricinfo.com/ci/content/ground/59545.html" TargetMode="External"/><Relationship Id="rId53" Type="http://schemas.openxmlformats.org/officeDocument/2006/relationships/hyperlink" Target="https://stats.espncricinfo.com/ci/content/ground/375326.html" TargetMode="External"/><Relationship Id="rId149" Type="http://schemas.openxmlformats.org/officeDocument/2006/relationships/hyperlink" Target="https://stats.espncricinfo.com/ci/content/team/3.html" TargetMode="External"/><Relationship Id="rId95" Type="http://schemas.openxmlformats.org/officeDocument/2006/relationships/hyperlink" Target="https://stats.espncricinfo.com/ci/content/ground/57851.html" TargetMode="External"/><Relationship Id="rId160" Type="http://schemas.openxmlformats.org/officeDocument/2006/relationships/hyperlink" Target="https://stats.espncricinfo.com/ci/content/team/2.html" TargetMode="External"/><Relationship Id="rId216" Type="http://schemas.openxmlformats.org/officeDocument/2006/relationships/hyperlink" Target="https://stats.espncricinfo.com/ci/content/team/3.html" TargetMode="External"/><Relationship Id="rId258" Type="http://schemas.openxmlformats.org/officeDocument/2006/relationships/hyperlink" Target="https://stats.espncricinfo.com/ci/content/team/8.html" TargetMode="External"/><Relationship Id="rId22" Type="http://schemas.openxmlformats.org/officeDocument/2006/relationships/hyperlink" Target="https://stats.espncricinfo.com/ci/content/ground/56788.html" TargetMode="External"/><Relationship Id="rId64" Type="http://schemas.openxmlformats.org/officeDocument/2006/relationships/hyperlink" Target="https://stats.espncricinfo.com/ci/content/ground/57092.html" TargetMode="External"/><Relationship Id="rId118" Type="http://schemas.openxmlformats.org/officeDocument/2006/relationships/hyperlink" Target="https://stats.espncricinfo.com/ci/content/team/2.html" TargetMode="External"/><Relationship Id="rId171" Type="http://schemas.openxmlformats.org/officeDocument/2006/relationships/hyperlink" Target="https://stats.espncricinfo.com/ci/content/team/8.html" TargetMode="External"/><Relationship Id="rId227" Type="http://schemas.openxmlformats.org/officeDocument/2006/relationships/hyperlink" Target="https://stats.espncricinfo.com/ci/content/team/4.html" TargetMode="External"/><Relationship Id="rId269" Type="http://schemas.openxmlformats.org/officeDocument/2006/relationships/hyperlink" Target="https://stats.espncricinfo.com/ci/content/team/15.html" TargetMode="External"/><Relationship Id="rId33" Type="http://schemas.openxmlformats.org/officeDocument/2006/relationships/hyperlink" Target="https://stats.espncricinfo.com/ci/content/ground/58324.html" TargetMode="External"/><Relationship Id="rId129" Type="http://schemas.openxmlformats.org/officeDocument/2006/relationships/hyperlink" Target="https://stats.espncricinfo.com/ci/content/team/1.html" TargetMode="External"/><Relationship Id="rId280" Type="http://schemas.openxmlformats.org/officeDocument/2006/relationships/hyperlink" Target="https://stats.espncricinfo.com/ci/content/ground/545380.html" TargetMode="External"/><Relationship Id="rId75" Type="http://schemas.openxmlformats.org/officeDocument/2006/relationships/hyperlink" Target="https://stats.espncricinfo.com/ci/content/ground/59147.html" TargetMode="External"/><Relationship Id="rId140" Type="http://schemas.openxmlformats.org/officeDocument/2006/relationships/hyperlink" Target="https://stats.espncricinfo.com/ci/content/team/4.html" TargetMode="External"/><Relationship Id="rId182" Type="http://schemas.openxmlformats.org/officeDocument/2006/relationships/hyperlink" Target="https://stats.espncricinfo.com/ci/content/team/9.html" TargetMode="External"/><Relationship Id="rId6" Type="http://schemas.openxmlformats.org/officeDocument/2006/relationships/hyperlink" Target="https://stats.espncricinfo.com/ci/engine/player/625383.html?class=2;orderby=bowling_position;template=results;type=bowling;view=innings" TargetMode="External"/><Relationship Id="rId238" Type="http://schemas.openxmlformats.org/officeDocument/2006/relationships/hyperlink" Target="https://stats.espncricinfo.com/ci/content/team/1.html" TargetMode="External"/><Relationship Id="rId291" Type="http://schemas.openxmlformats.org/officeDocument/2006/relationships/hyperlink" Target="https://stats.espncricinfo.com/ci/content/ground/59147.html" TargetMode="External"/><Relationship Id="rId305" Type="http://schemas.openxmlformats.org/officeDocument/2006/relationships/hyperlink" Target="https://stats.espncricinfo.com/ci/content/ground/57312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ts.espncricinfo.com/ci/content/team/5.html" TargetMode="External"/><Relationship Id="rId21" Type="http://schemas.openxmlformats.org/officeDocument/2006/relationships/hyperlink" Target="https://stats.espncricinfo.com/ci/content/team/8.html" TargetMode="External"/><Relationship Id="rId42" Type="http://schemas.openxmlformats.org/officeDocument/2006/relationships/hyperlink" Target="https://stats.espncricinfo.com/ci/content/team/4.html" TargetMode="External"/><Relationship Id="rId47" Type="http://schemas.openxmlformats.org/officeDocument/2006/relationships/hyperlink" Target="https://stats.espncricinfo.com/ci/content/team/2.html" TargetMode="External"/><Relationship Id="rId63" Type="http://schemas.openxmlformats.org/officeDocument/2006/relationships/hyperlink" Target="https://stats.espncricinfo.com/ci/content/team/5.html" TargetMode="External"/><Relationship Id="rId68" Type="http://schemas.openxmlformats.org/officeDocument/2006/relationships/hyperlink" Target="https://stats.espncricinfo.com/ci/content/team/3.html" TargetMode="External"/><Relationship Id="rId84" Type="http://schemas.openxmlformats.org/officeDocument/2006/relationships/hyperlink" Target="https://stats.espncricinfo.com/ci/content/team/8.html" TargetMode="External"/><Relationship Id="rId16" Type="http://schemas.openxmlformats.org/officeDocument/2006/relationships/hyperlink" Target="https://stats.espncricinfo.com/ci/content/team/7.html" TargetMode="External"/><Relationship Id="rId11" Type="http://schemas.openxmlformats.org/officeDocument/2006/relationships/hyperlink" Target="https://stats.espncricinfo.com/ci/content/team/1.html" TargetMode="External"/><Relationship Id="rId32" Type="http://schemas.openxmlformats.org/officeDocument/2006/relationships/hyperlink" Target="https://stats.espncricinfo.com/ci/content/team/3.html" TargetMode="External"/><Relationship Id="rId37" Type="http://schemas.openxmlformats.org/officeDocument/2006/relationships/hyperlink" Target="https://stats.espncricinfo.com/ci/content/team/3.html" TargetMode="External"/><Relationship Id="rId53" Type="http://schemas.openxmlformats.org/officeDocument/2006/relationships/hyperlink" Target="https://stats.espncricinfo.com/ci/content/team/40.html" TargetMode="External"/><Relationship Id="rId58" Type="http://schemas.openxmlformats.org/officeDocument/2006/relationships/hyperlink" Target="https://stats.espncricinfo.com/ci/content/team/5.html" TargetMode="External"/><Relationship Id="rId74" Type="http://schemas.openxmlformats.org/officeDocument/2006/relationships/hyperlink" Target="https://stats.espncricinfo.com/ci/content/team/8.html" TargetMode="External"/><Relationship Id="rId79" Type="http://schemas.openxmlformats.org/officeDocument/2006/relationships/hyperlink" Target="https://stats.espncricinfo.com/ci/content/team/40.html" TargetMode="External"/><Relationship Id="rId5" Type="http://schemas.openxmlformats.org/officeDocument/2006/relationships/hyperlink" Target="https://stats.espncricinfo.com/ci/content/team/5.html" TargetMode="External"/><Relationship Id="rId19" Type="http://schemas.openxmlformats.org/officeDocument/2006/relationships/hyperlink" Target="https://stats.espncricinfo.com/ci/content/team/8.html" TargetMode="External"/><Relationship Id="rId14" Type="http://schemas.openxmlformats.org/officeDocument/2006/relationships/hyperlink" Target="https://stats.espncricinfo.com/ci/content/team/3.html" TargetMode="External"/><Relationship Id="rId22" Type="http://schemas.openxmlformats.org/officeDocument/2006/relationships/hyperlink" Target="https://stats.espncricinfo.com/ci/content/team/2.html" TargetMode="External"/><Relationship Id="rId27" Type="http://schemas.openxmlformats.org/officeDocument/2006/relationships/hyperlink" Target="https://stats.espncricinfo.com/ci/content/team/5.html" TargetMode="External"/><Relationship Id="rId30" Type="http://schemas.openxmlformats.org/officeDocument/2006/relationships/hyperlink" Target="https://stats.espncricinfo.com/ci/content/team/8.html" TargetMode="External"/><Relationship Id="rId35" Type="http://schemas.openxmlformats.org/officeDocument/2006/relationships/hyperlink" Target="https://stats.espncricinfo.com/ci/content/team/3.html" TargetMode="External"/><Relationship Id="rId43" Type="http://schemas.openxmlformats.org/officeDocument/2006/relationships/hyperlink" Target="https://stats.espncricinfo.com/ci/content/team/4.html" TargetMode="External"/><Relationship Id="rId48" Type="http://schemas.openxmlformats.org/officeDocument/2006/relationships/hyperlink" Target="https://stats.espncricinfo.com/ci/content/team/2.html" TargetMode="External"/><Relationship Id="rId56" Type="http://schemas.openxmlformats.org/officeDocument/2006/relationships/hyperlink" Target="https://stats.espncricinfo.com/ci/content/team/25.html" TargetMode="External"/><Relationship Id="rId64" Type="http://schemas.openxmlformats.org/officeDocument/2006/relationships/hyperlink" Target="https://stats.espncricinfo.com/ci/content/team/5.html" TargetMode="External"/><Relationship Id="rId69" Type="http://schemas.openxmlformats.org/officeDocument/2006/relationships/hyperlink" Target="https://stats.espncricinfo.com/ci/content/team/3.html" TargetMode="External"/><Relationship Id="rId77" Type="http://schemas.openxmlformats.org/officeDocument/2006/relationships/hyperlink" Target="https://stats.espncricinfo.com/ci/content/team/2.html" TargetMode="External"/><Relationship Id="rId8" Type="http://schemas.openxmlformats.org/officeDocument/2006/relationships/hyperlink" Target="https://stats.espncricinfo.com/ci/content/team/5.html" TargetMode="External"/><Relationship Id="rId51" Type="http://schemas.openxmlformats.org/officeDocument/2006/relationships/hyperlink" Target="https://stats.espncricinfo.com/ci/content/team/2.html" TargetMode="External"/><Relationship Id="rId72" Type="http://schemas.openxmlformats.org/officeDocument/2006/relationships/hyperlink" Target="https://stats.espncricinfo.com/ci/content/team/1.html" TargetMode="External"/><Relationship Id="rId80" Type="http://schemas.openxmlformats.org/officeDocument/2006/relationships/hyperlink" Target="https://stats.espncricinfo.com/ci/content/team/7.html" TargetMode="External"/><Relationship Id="rId85" Type="http://schemas.openxmlformats.org/officeDocument/2006/relationships/hyperlink" Target="https://stats.espncricinfo.com/ci/content/team/3.html" TargetMode="External"/><Relationship Id="rId3" Type="http://schemas.openxmlformats.org/officeDocument/2006/relationships/hyperlink" Target="https://stats.espncricinfo.com/ci/content/team/9.html" TargetMode="External"/><Relationship Id="rId12" Type="http://schemas.openxmlformats.org/officeDocument/2006/relationships/hyperlink" Target="https://stats.espncricinfo.com/ci/content/team/7.html" TargetMode="External"/><Relationship Id="rId17" Type="http://schemas.openxmlformats.org/officeDocument/2006/relationships/hyperlink" Target="https://stats.espncricinfo.com/ci/content/team/8.html" TargetMode="External"/><Relationship Id="rId25" Type="http://schemas.openxmlformats.org/officeDocument/2006/relationships/hyperlink" Target="https://stats.espncricinfo.com/ci/content/team/2.html" TargetMode="External"/><Relationship Id="rId33" Type="http://schemas.openxmlformats.org/officeDocument/2006/relationships/hyperlink" Target="https://stats.espncricinfo.com/ci/content/team/3.html" TargetMode="External"/><Relationship Id="rId38" Type="http://schemas.openxmlformats.org/officeDocument/2006/relationships/hyperlink" Target="https://stats.espncricinfo.com/ci/content/team/7.html" TargetMode="External"/><Relationship Id="rId46" Type="http://schemas.openxmlformats.org/officeDocument/2006/relationships/hyperlink" Target="https://stats.espncricinfo.com/ci/content/team/2.html" TargetMode="External"/><Relationship Id="rId59" Type="http://schemas.openxmlformats.org/officeDocument/2006/relationships/hyperlink" Target="https://stats.espncricinfo.com/ci/content/team/2.html" TargetMode="External"/><Relationship Id="rId67" Type="http://schemas.openxmlformats.org/officeDocument/2006/relationships/hyperlink" Target="https://stats.espncricinfo.com/ci/content/team/2.html" TargetMode="External"/><Relationship Id="rId20" Type="http://schemas.openxmlformats.org/officeDocument/2006/relationships/hyperlink" Target="https://stats.espncricinfo.com/ci/content/team/8.html" TargetMode="External"/><Relationship Id="rId41" Type="http://schemas.openxmlformats.org/officeDocument/2006/relationships/hyperlink" Target="https://stats.espncricinfo.com/ci/content/team/25.html" TargetMode="External"/><Relationship Id="rId54" Type="http://schemas.openxmlformats.org/officeDocument/2006/relationships/hyperlink" Target="https://stats.espncricinfo.com/ci/content/team/4.html" TargetMode="External"/><Relationship Id="rId62" Type="http://schemas.openxmlformats.org/officeDocument/2006/relationships/hyperlink" Target="https://stats.espncricinfo.com/ci/content/team/5.html" TargetMode="External"/><Relationship Id="rId70" Type="http://schemas.openxmlformats.org/officeDocument/2006/relationships/hyperlink" Target="https://stats.espncricinfo.com/ci/content/team/3.html" TargetMode="External"/><Relationship Id="rId75" Type="http://schemas.openxmlformats.org/officeDocument/2006/relationships/hyperlink" Target="https://stats.espncricinfo.com/ci/content/team/8.html" TargetMode="External"/><Relationship Id="rId83" Type="http://schemas.openxmlformats.org/officeDocument/2006/relationships/hyperlink" Target="https://stats.espncricinfo.com/ci/content/team/1.html" TargetMode="External"/><Relationship Id="rId88" Type="http://schemas.openxmlformats.org/officeDocument/2006/relationships/hyperlink" Target="https://stats.espncricinfo.com/ci/content/team/2.html" TargetMode="External"/><Relationship Id="rId1" Type="http://schemas.openxmlformats.org/officeDocument/2006/relationships/hyperlink" Target="https://stats.espncricinfo.com/ci/content/team/2.html" TargetMode="External"/><Relationship Id="rId6" Type="http://schemas.openxmlformats.org/officeDocument/2006/relationships/hyperlink" Target="https://stats.espncricinfo.com/ci/content/team/5.html" TargetMode="External"/><Relationship Id="rId15" Type="http://schemas.openxmlformats.org/officeDocument/2006/relationships/hyperlink" Target="https://stats.espncricinfo.com/ci/content/team/25.html" TargetMode="External"/><Relationship Id="rId23" Type="http://schemas.openxmlformats.org/officeDocument/2006/relationships/hyperlink" Target="https://stats.espncricinfo.com/ci/content/team/2.html" TargetMode="External"/><Relationship Id="rId28" Type="http://schemas.openxmlformats.org/officeDocument/2006/relationships/hyperlink" Target="https://stats.espncricinfo.com/ci/content/team/5.html" TargetMode="External"/><Relationship Id="rId36" Type="http://schemas.openxmlformats.org/officeDocument/2006/relationships/hyperlink" Target="https://stats.espncricinfo.com/ci/content/team/3.html" TargetMode="External"/><Relationship Id="rId49" Type="http://schemas.openxmlformats.org/officeDocument/2006/relationships/hyperlink" Target="https://stats.espncricinfo.com/ci/content/team/2.html" TargetMode="External"/><Relationship Id="rId57" Type="http://schemas.openxmlformats.org/officeDocument/2006/relationships/hyperlink" Target="https://stats.espncricinfo.com/ci/content/team/8.html" TargetMode="External"/><Relationship Id="rId10" Type="http://schemas.openxmlformats.org/officeDocument/2006/relationships/hyperlink" Target="https://stats.espncricinfo.com/ci/content/team/1.html" TargetMode="External"/><Relationship Id="rId31" Type="http://schemas.openxmlformats.org/officeDocument/2006/relationships/hyperlink" Target="https://stats.espncricinfo.com/ci/content/team/8.html" TargetMode="External"/><Relationship Id="rId44" Type="http://schemas.openxmlformats.org/officeDocument/2006/relationships/hyperlink" Target="https://stats.espncricinfo.com/ci/content/team/4.html" TargetMode="External"/><Relationship Id="rId52" Type="http://schemas.openxmlformats.org/officeDocument/2006/relationships/hyperlink" Target="https://stats.espncricinfo.com/ci/content/team/7.html" TargetMode="External"/><Relationship Id="rId60" Type="http://schemas.openxmlformats.org/officeDocument/2006/relationships/hyperlink" Target="https://stats.espncricinfo.com/ci/content/team/2.html" TargetMode="External"/><Relationship Id="rId65" Type="http://schemas.openxmlformats.org/officeDocument/2006/relationships/hyperlink" Target="https://stats.espncricinfo.com/ci/content/team/2.html" TargetMode="External"/><Relationship Id="rId73" Type="http://schemas.openxmlformats.org/officeDocument/2006/relationships/hyperlink" Target="https://stats.espncricinfo.com/ci/content/team/7.html" TargetMode="External"/><Relationship Id="rId78" Type="http://schemas.openxmlformats.org/officeDocument/2006/relationships/hyperlink" Target="https://stats.espncricinfo.com/ci/content/team/2.html" TargetMode="External"/><Relationship Id="rId81" Type="http://schemas.openxmlformats.org/officeDocument/2006/relationships/hyperlink" Target="https://stats.espncricinfo.com/ci/content/team/25.html" TargetMode="External"/><Relationship Id="rId86" Type="http://schemas.openxmlformats.org/officeDocument/2006/relationships/hyperlink" Target="https://stats.espncricinfo.com/ci/content/team/15.html" TargetMode="External"/><Relationship Id="rId4" Type="http://schemas.openxmlformats.org/officeDocument/2006/relationships/hyperlink" Target="https://stats.espncricinfo.com/ci/content/team/9.html" TargetMode="External"/><Relationship Id="rId9" Type="http://schemas.openxmlformats.org/officeDocument/2006/relationships/hyperlink" Target="https://stats.espncricinfo.com/ci/content/team/1.html" TargetMode="External"/><Relationship Id="rId13" Type="http://schemas.openxmlformats.org/officeDocument/2006/relationships/hyperlink" Target="https://stats.espncricinfo.com/ci/content/team/8.html" TargetMode="External"/><Relationship Id="rId18" Type="http://schemas.openxmlformats.org/officeDocument/2006/relationships/hyperlink" Target="https://stats.espncricinfo.com/ci/content/team/8.html" TargetMode="External"/><Relationship Id="rId39" Type="http://schemas.openxmlformats.org/officeDocument/2006/relationships/hyperlink" Target="https://stats.espncricinfo.com/ci/content/team/25.html" TargetMode="External"/><Relationship Id="rId34" Type="http://schemas.openxmlformats.org/officeDocument/2006/relationships/hyperlink" Target="https://stats.espncricinfo.com/ci/content/team/3.html" TargetMode="External"/><Relationship Id="rId50" Type="http://schemas.openxmlformats.org/officeDocument/2006/relationships/hyperlink" Target="https://stats.espncricinfo.com/ci/content/team/3.html" TargetMode="External"/><Relationship Id="rId55" Type="http://schemas.openxmlformats.org/officeDocument/2006/relationships/hyperlink" Target="https://stats.espncricinfo.com/ci/content/team/1.html" TargetMode="External"/><Relationship Id="rId76" Type="http://schemas.openxmlformats.org/officeDocument/2006/relationships/hyperlink" Target="https://stats.espncricinfo.com/ci/content/team/2.html" TargetMode="External"/><Relationship Id="rId7" Type="http://schemas.openxmlformats.org/officeDocument/2006/relationships/hyperlink" Target="https://stats.espncricinfo.com/ci/content/team/5.html" TargetMode="External"/><Relationship Id="rId71" Type="http://schemas.openxmlformats.org/officeDocument/2006/relationships/hyperlink" Target="https://stats.espncricinfo.com/ci/content/team/1.html" TargetMode="External"/><Relationship Id="rId2" Type="http://schemas.openxmlformats.org/officeDocument/2006/relationships/hyperlink" Target="https://stats.espncricinfo.com/ci/content/team/9.html" TargetMode="External"/><Relationship Id="rId29" Type="http://schemas.openxmlformats.org/officeDocument/2006/relationships/hyperlink" Target="https://stats.espncricinfo.com/ci/content/team/8.html" TargetMode="External"/><Relationship Id="rId24" Type="http://schemas.openxmlformats.org/officeDocument/2006/relationships/hyperlink" Target="https://stats.espncricinfo.com/ci/content/team/2.html" TargetMode="External"/><Relationship Id="rId40" Type="http://schemas.openxmlformats.org/officeDocument/2006/relationships/hyperlink" Target="https://stats.espncricinfo.com/ci/content/team/7.html" TargetMode="External"/><Relationship Id="rId45" Type="http://schemas.openxmlformats.org/officeDocument/2006/relationships/hyperlink" Target="https://stats.espncricinfo.com/ci/content/team/2.html" TargetMode="External"/><Relationship Id="rId66" Type="http://schemas.openxmlformats.org/officeDocument/2006/relationships/hyperlink" Target="https://stats.espncricinfo.com/ci/content/team/2.html" TargetMode="External"/><Relationship Id="rId87" Type="http://schemas.openxmlformats.org/officeDocument/2006/relationships/hyperlink" Target="https://stats.espncricinfo.com/ci/content/team/5.html" TargetMode="External"/><Relationship Id="rId61" Type="http://schemas.openxmlformats.org/officeDocument/2006/relationships/hyperlink" Target="https://stats.espncricinfo.com/ci/content/team/2.html" TargetMode="External"/><Relationship Id="rId82" Type="http://schemas.openxmlformats.org/officeDocument/2006/relationships/hyperlink" Target="https://stats.espncricinfo.com/ci/content/team/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79" zoomScaleNormal="79" workbookViewId="0">
      <selection activeCell="U17" sqref="U17"/>
    </sheetView>
  </sheetViews>
  <sheetFormatPr defaultColWidth="9" defaultRowHeight="14.4"/>
  <cols>
    <col min="1" max="1" width="9.109375" bestFit="1" customWidth="1"/>
    <col min="2" max="2" width="7.33203125" bestFit="1" customWidth="1"/>
    <col min="3" max="3" width="6.44140625" bestFit="1" customWidth="1"/>
    <col min="4" max="4" width="6.5546875" bestFit="1" customWidth="1"/>
    <col min="5" max="5" width="6.44140625" bestFit="1" customWidth="1"/>
    <col min="6" max="6" width="5" bestFit="1" customWidth="1"/>
    <col min="7" max="7" width="7.109375" bestFit="1" customWidth="1"/>
    <col min="8" max="8" width="16.44140625" bestFit="1" customWidth="1"/>
    <col min="9" max="9" width="23" bestFit="1" customWidth="1"/>
    <col min="10" max="10" width="15.21875" bestFit="1" customWidth="1"/>
    <col min="11" max="11" width="6.88671875" customWidth="1"/>
    <col min="12" max="12" width="15.77734375" bestFit="1" customWidth="1"/>
    <col min="13" max="13" width="12.109375" bestFit="1" customWidth="1"/>
    <col min="14" max="14" width="14.6640625" bestFit="1" customWidth="1"/>
    <col min="15" max="15" width="21.109375" bestFit="1" customWidth="1"/>
    <col min="16" max="16" width="21.88671875" bestFit="1" customWidth="1"/>
  </cols>
  <sheetData>
    <row r="1" spans="1:21" s="13" customFormat="1" ht="26.4" customHeight="1">
      <c r="A1" s="9" t="s">
        <v>65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9" t="s">
        <v>9</v>
      </c>
      <c r="K1" s="11" t="s">
        <v>10</v>
      </c>
      <c r="L1" s="12" t="s">
        <v>11</v>
      </c>
      <c r="M1" s="12" t="s">
        <v>66</v>
      </c>
      <c r="N1" s="12" t="s">
        <v>12</v>
      </c>
      <c r="O1" s="16" t="s">
        <v>64</v>
      </c>
      <c r="P1" s="20" t="s">
        <v>108</v>
      </c>
    </row>
    <row r="2" spans="1:21" ht="18">
      <c r="A2" s="2">
        <v>10</v>
      </c>
      <c r="B2" s="4">
        <v>0</v>
      </c>
      <c r="C2" s="4">
        <v>40</v>
      </c>
      <c r="D2" s="4">
        <v>2</v>
      </c>
      <c r="E2" s="4">
        <v>4</v>
      </c>
      <c r="F2" s="4">
        <v>3</v>
      </c>
      <c r="G2" s="4">
        <v>1.0900000000000001</v>
      </c>
      <c r="H2" s="5" t="s">
        <v>13</v>
      </c>
      <c r="I2" s="6" t="s">
        <v>14</v>
      </c>
      <c r="J2" s="7">
        <v>42392</v>
      </c>
      <c r="K2" s="5">
        <f t="shared" ref="K2:K33" si="0">(INT(A2)*6)+(MOD(A2,1)*10)</f>
        <v>60</v>
      </c>
      <c r="L2" s="8">
        <f>K2/(D2)</f>
        <v>30</v>
      </c>
      <c r="M2" s="8">
        <f>C2/(D2)</f>
        <v>20</v>
      </c>
      <c r="N2" s="8">
        <v>0.91</v>
      </c>
      <c r="O2" s="5" t="s">
        <v>97</v>
      </c>
      <c r="P2" s="6">
        <v>1.66</v>
      </c>
    </row>
    <row r="3" spans="1:21" ht="18">
      <c r="A3" s="2">
        <v>9.5</v>
      </c>
      <c r="B3" s="4">
        <v>2</v>
      </c>
      <c r="C3" s="4">
        <v>28</v>
      </c>
      <c r="D3" s="4">
        <v>4</v>
      </c>
      <c r="E3" s="4">
        <v>2.84</v>
      </c>
      <c r="F3" s="4">
        <v>3</v>
      </c>
      <c r="G3" s="4">
        <v>1.0900000000000001</v>
      </c>
      <c r="H3" s="5" t="s">
        <v>15</v>
      </c>
      <c r="I3" s="6" t="s">
        <v>16</v>
      </c>
      <c r="J3" s="7">
        <v>42532</v>
      </c>
      <c r="K3" s="5">
        <f t="shared" si="0"/>
        <v>59</v>
      </c>
      <c r="L3" s="8">
        <f>K3/(D3)</f>
        <v>14.75</v>
      </c>
      <c r="M3" s="8">
        <f>C3/(D3)</f>
        <v>7</v>
      </c>
      <c r="N3" s="8">
        <v>0.91</v>
      </c>
      <c r="O3" s="5" t="s">
        <v>106</v>
      </c>
      <c r="P3" s="6">
        <v>0.36</v>
      </c>
    </row>
    <row r="4" spans="1:21" ht="18">
      <c r="A4" s="2">
        <v>6</v>
      </c>
      <c r="B4" s="4">
        <v>0</v>
      </c>
      <c r="C4" s="4">
        <v>27</v>
      </c>
      <c r="D4" s="4">
        <v>1</v>
      </c>
      <c r="E4" s="4">
        <v>4.5</v>
      </c>
      <c r="F4" s="4">
        <v>3</v>
      </c>
      <c r="G4" s="4">
        <v>1.0900000000000001</v>
      </c>
      <c r="H4" s="5" t="s">
        <v>15</v>
      </c>
      <c r="I4" s="6" t="s">
        <v>16</v>
      </c>
      <c r="J4" s="7">
        <v>42534</v>
      </c>
      <c r="K4" s="5">
        <f t="shared" si="0"/>
        <v>36</v>
      </c>
      <c r="L4" s="8">
        <f>K4/(D4)</f>
        <v>36</v>
      </c>
      <c r="M4" s="8">
        <f>C4/(D4)</f>
        <v>27</v>
      </c>
      <c r="N4" s="8">
        <v>0.91</v>
      </c>
      <c r="O4" s="5" t="s">
        <v>106</v>
      </c>
      <c r="P4" s="6">
        <v>0.36</v>
      </c>
    </row>
    <row r="5" spans="1:21" ht="18">
      <c r="A5" s="2">
        <v>10</v>
      </c>
      <c r="B5" s="4">
        <v>1</v>
      </c>
      <c r="C5" s="4">
        <v>22</v>
      </c>
      <c r="D5" s="4">
        <v>4</v>
      </c>
      <c r="E5" s="4">
        <v>2.2000000000000002</v>
      </c>
      <c r="F5" s="4">
        <v>3</v>
      </c>
      <c r="G5" s="4">
        <v>1.0900000000000001</v>
      </c>
      <c r="H5" s="5" t="s">
        <v>15</v>
      </c>
      <c r="I5" s="6" t="s">
        <v>16</v>
      </c>
      <c r="J5" s="7">
        <v>42536</v>
      </c>
      <c r="K5" s="5">
        <f t="shared" si="0"/>
        <v>60</v>
      </c>
      <c r="L5" s="8">
        <f>K5/(D5)</f>
        <v>15</v>
      </c>
      <c r="M5" s="8">
        <f>C5/(D5)</f>
        <v>5.5</v>
      </c>
      <c r="N5" s="8">
        <v>0.91</v>
      </c>
      <c r="O5" s="5" t="s">
        <v>106</v>
      </c>
      <c r="P5" s="6">
        <v>0.36</v>
      </c>
    </row>
    <row r="6" spans="1:21" ht="18">
      <c r="A6" s="2">
        <v>8</v>
      </c>
      <c r="B6" s="4">
        <v>1</v>
      </c>
      <c r="C6" s="4">
        <v>29</v>
      </c>
      <c r="D6" s="4" t="s">
        <v>17</v>
      </c>
      <c r="E6" s="4">
        <v>3.62</v>
      </c>
      <c r="F6" s="4">
        <v>3</v>
      </c>
      <c r="G6" s="4">
        <v>1.0900000000000001</v>
      </c>
      <c r="H6" s="5" t="s">
        <v>18</v>
      </c>
      <c r="I6" s="6" t="s">
        <v>19</v>
      </c>
      <c r="J6" s="7">
        <v>42659</v>
      </c>
      <c r="K6" s="5">
        <f t="shared" si="0"/>
        <v>48</v>
      </c>
      <c r="L6" s="8" t="s">
        <v>17</v>
      </c>
      <c r="M6" s="8" t="s">
        <v>17</v>
      </c>
      <c r="N6" s="8">
        <v>1.1299999999999999</v>
      </c>
      <c r="O6" s="5" t="s">
        <v>101</v>
      </c>
      <c r="P6" s="6">
        <v>1.1299999999999999</v>
      </c>
    </row>
    <row r="7" spans="1:21" ht="18">
      <c r="A7" s="2">
        <v>10</v>
      </c>
      <c r="B7" s="4">
        <v>0</v>
      </c>
      <c r="C7" s="4">
        <v>35</v>
      </c>
      <c r="D7" s="4">
        <v>3</v>
      </c>
      <c r="E7" s="4">
        <v>3.5</v>
      </c>
      <c r="F7" s="4">
        <v>3</v>
      </c>
      <c r="G7" s="4">
        <v>1.0900000000000001</v>
      </c>
      <c r="H7" s="5" t="s">
        <v>18</v>
      </c>
      <c r="I7" s="6" t="s">
        <v>20</v>
      </c>
      <c r="J7" s="7">
        <v>42663</v>
      </c>
      <c r="K7" s="5">
        <f t="shared" si="0"/>
        <v>60</v>
      </c>
      <c r="L7" s="8">
        <f t="shared" ref="L7:L12" si="1">K7/(D7)</f>
        <v>20</v>
      </c>
      <c r="M7" s="8">
        <f t="shared" ref="M7:M12" si="2">C7/(D7)</f>
        <v>11.666666666666666</v>
      </c>
      <c r="N7" s="8">
        <v>1.1299999999999999</v>
      </c>
      <c r="O7" s="5" t="s">
        <v>101</v>
      </c>
      <c r="P7" s="6">
        <v>1.1299999999999999</v>
      </c>
      <c r="S7" s="1"/>
    </row>
    <row r="8" spans="1:21" ht="18">
      <c r="A8" s="2">
        <v>9.4</v>
      </c>
      <c r="B8" s="4">
        <v>0</v>
      </c>
      <c r="C8" s="4">
        <v>52</v>
      </c>
      <c r="D8" s="4">
        <v>2</v>
      </c>
      <c r="E8" s="4">
        <v>5.37</v>
      </c>
      <c r="F8" s="4">
        <v>3</v>
      </c>
      <c r="G8" s="4">
        <v>1.0900000000000001</v>
      </c>
      <c r="H8" s="5" t="s">
        <v>18</v>
      </c>
      <c r="I8" s="6" t="s">
        <v>21</v>
      </c>
      <c r="J8" s="7">
        <v>42666</v>
      </c>
      <c r="K8" s="5">
        <f t="shared" si="0"/>
        <v>58</v>
      </c>
      <c r="L8" s="8">
        <f t="shared" si="1"/>
        <v>29</v>
      </c>
      <c r="M8" s="8">
        <f t="shared" si="2"/>
        <v>26</v>
      </c>
      <c r="N8" s="8">
        <v>1.1299999999999999</v>
      </c>
      <c r="O8" s="5" t="s">
        <v>101</v>
      </c>
      <c r="P8" s="6">
        <v>1.1299999999999999</v>
      </c>
      <c r="U8" s="13"/>
    </row>
    <row r="9" spans="1:21" ht="18">
      <c r="A9" s="2">
        <v>5</v>
      </c>
      <c r="B9" s="4">
        <v>0</v>
      </c>
      <c r="C9" s="4">
        <v>16</v>
      </c>
      <c r="D9" s="4">
        <v>1</v>
      </c>
      <c r="E9" s="4">
        <v>3.2</v>
      </c>
      <c r="F9" s="4">
        <v>2</v>
      </c>
      <c r="G9" s="4">
        <v>0.85</v>
      </c>
      <c r="H9" s="5" t="s">
        <v>18</v>
      </c>
      <c r="I9" s="6" t="s">
        <v>67</v>
      </c>
      <c r="J9" s="7">
        <v>42672</v>
      </c>
      <c r="K9" s="5">
        <f t="shared" si="0"/>
        <v>30</v>
      </c>
      <c r="L9" s="8">
        <f t="shared" si="1"/>
        <v>30</v>
      </c>
      <c r="M9" s="8">
        <f t="shared" si="2"/>
        <v>16</v>
      </c>
      <c r="N9" s="8">
        <v>1.1299999999999999</v>
      </c>
      <c r="O9" s="5" t="s">
        <v>101</v>
      </c>
      <c r="P9" s="6">
        <v>1.1299999999999999</v>
      </c>
    </row>
    <row r="10" spans="1:21" ht="18">
      <c r="A10" s="2">
        <v>10</v>
      </c>
      <c r="B10" s="4">
        <v>0</v>
      </c>
      <c r="C10" s="4">
        <v>79</v>
      </c>
      <c r="D10" s="4">
        <v>2</v>
      </c>
      <c r="E10" s="4">
        <v>7.9</v>
      </c>
      <c r="F10" s="4">
        <v>3</v>
      </c>
      <c r="G10" s="4">
        <v>1.0900000000000001</v>
      </c>
      <c r="H10" s="5" t="s">
        <v>22</v>
      </c>
      <c r="I10" s="6" t="s">
        <v>23</v>
      </c>
      <c r="J10" s="7">
        <v>42750</v>
      </c>
      <c r="K10" s="5">
        <f t="shared" si="0"/>
        <v>60</v>
      </c>
      <c r="L10" s="8">
        <f t="shared" si="1"/>
        <v>30</v>
      </c>
      <c r="M10" s="8">
        <f t="shared" si="2"/>
        <v>39.5</v>
      </c>
      <c r="N10" s="8">
        <v>1.1299999999999999</v>
      </c>
      <c r="O10" s="5" t="s">
        <v>99</v>
      </c>
      <c r="P10" s="6">
        <v>1.1299999999999999</v>
      </c>
    </row>
    <row r="11" spans="1:21" ht="18">
      <c r="A11" s="2">
        <v>9</v>
      </c>
      <c r="B11" s="4">
        <v>0</v>
      </c>
      <c r="C11" s="4">
        <v>81</v>
      </c>
      <c r="D11" s="4">
        <v>2</v>
      </c>
      <c r="E11" s="4">
        <v>9</v>
      </c>
      <c r="F11" s="4">
        <v>2</v>
      </c>
      <c r="G11" s="4">
        <v>0.85</v>
      </c>
      <c r="H11" s="5" t="s">
        <v>22</v>
      </c>
      <c r="I11" s="6" t="s">
        <v>24</v>
      </c>
      <c r="J11" s="7">
        <v>42754</v>
      </c>
      <c r="K11" s="5">
        <f t="shared" si="0"/>
        <v>54</v>
      </c>
      <c r="L11" s="8">
        <f t="shared" si="1"/>
        <v>27</v>
      </c>
      <c r="M11" s="8">
        <f t="shared" si="2"/>
        <v>40.5</v>
      </c>
      <c r="N11" s="8">
        <v>1.1299999999999999</v>
      </c>
      <c r="O11" s="5" t="s">
        <v>99</v>
      </c>
      <c r="P11" s="6">
        <v>1.1299999999999999</v>
      </c>
    </row>
    <row r="12" spans="1:21" ht="18">
      <c r="A12" s="2">
        <v>10</v>
      </c>
      <c r="B12" s="4">
        <v>1</v>
      </c>
      <c r="C12" s="4">
        <v>68</v>
      </c>
      <c r="D12" s="4">
        <v>1</v>
      </c>
      <c r="E12" s="4">
        <v>6.8</v>
      </c>
      <c r="F12" s="4">
        <v>3</v>
      </c>
      <c r="G12" s="4">
        <v>1.0900000000000001</v>
      </c>
      <c r="H12" s="5" t="s">
        <v>22</v>
      </c>
      <c r="I12" s="6" t="s">
        <v>25</v>
      </c>
      <c r="J12" s="7">
        <v>42757</v>
      </c>
      <c r="K12" s="5">
        <f t="shared" si="0"/>
        <v>60</v>
      </c>
      <c r="L12" s="8">
        <f t="shared" si="1"/>
        <v>60</v>
      </c>
      <c r="M12" s="8">
        <f t="shared" si="2"/>
        <v>68</v>
      </c>
      <c r="N12" s="8">
        <v>1.1299999999999999</v>
      </c>
      <c r="O12" s="5" t="s">
        <v>99</v>
      </c>
      <c r="P12" s="6">
        <v>1.1299999999999999</v>
      </c>
    </row>
    <row r="13" spans="1:21" ht="18">
      <c r="A13" s="2">
        <v>5</v>
      </c>
      <c r="B13" s="4">
        <v>0</v>
      </c>
      <c r="C13" s="4">
        <v>23</v>
      </c>
      <c r="D13" s="4" t="s">
        <v>17</v>
      </c>
      <c r="E13" s="4">
        <v>4.5999999999999996</v>
      </c>
      <c r="F13" s="4">
        <v>3</v>
      </c>
      <c r="G13" s="4">
        <v>0.85</v>
      </c>
      <c r="H13" s="5" t="s">
        <v>26</v>
      </c>
      <c r="I13" s="6" t="s">
        <v>27</v>
      </c>
      <c r="J13" s="7">
        <v>42890</v>
      </c>
      <c r="K13" s="5">
        <f t="shared" si="0"/>
        <v>30</v>
      </c>
      <c r="L13" s="8" t="s">
        <v>17</v>
      </c>
      <c r="M13" s="8" t="s">
        <v>17</v>
      </c>
      <c r="N13" s="8">
        <v>0.91</v>
      </c>
      <c r="O13" s="5" t="s">
        <v>102</v>
      </c>
      <c r="P13" s="6">
        <v>0.92</v>
      </c>
    </row>
    <row r="14" spans="1:21" ht="18">
      <c r="A14" s="2">
        <v>10</v>
      </c>
      <c r="B14" s="4">
        <v>0</v>
      </c>
      <c r="C14" s="4">
        <v>52</v>
      </c>
      <c r="D14" s="4" t="s">
        <v>17</v>
      </c>
      <c r="E14" s="4">
        <v>5.2</v>
      </c>
      <c r="F14" s="4">
        <v>3</v>
      </c>
      <c r="G14" s="4">
        <v>0.85</v>
      </c>
      <c r="H14" s="5" t="s">
        <v>28</v>
      </c>
      <c r="I14" s="6" t="s">
        <v>68</v>
      </c>
      <c r="J14" s="7">
        <v>42894</v>
      </c>
      <c r="K14" s="5">
        <f t="shared" si="0"/>
        <v>60</v>
      </c>
      <c r="L14" s="8" t="s">
        <v>17</v>
      </c>
      <c r="M14" s="8" t="s">
        <v>17</v>
      </c>
      <c r="N14" s="8">
        <v>0.91</v>
      </c>
      <c r="O14" s="5" t="s">
        <v>104</v>
      </c>
      <c r="P14" s="6">
        <v>0.92</v>
      </c>
    </row>
    <row r="15" spans="1:21" ht="18">
      <c r="A15" s="2">
        <v>8</v>
      </c>
      <c r="B15" s="4">
        <v>0</v>
      </c>
      <c r="C15" s="4">
        <v>28</v>
      </c>
      <c r="D15" s="4">
        <v>2</v>
      </c>
      <c r="E15" s="4">
        <v>3.5</v>
      </c>
      <c r="F15" s="4">
        <v>2</v>
      </c>
      <c r="G15" s="4">
        <v>1.0900000000000001</v>
      </c>
      <c r="H15" s="5" t="s">
        <v>29</v>
      </c>
      <c r="I15" s="6" t="s">
        <v>68</v>
      </c>
      <c r="J15" s="7">
        <v>42897</v>
      </c>
      <c r="K15" s="5">
        <f t="shared" si="0"/>
        <v>48</v>
      </c>
      <c r="L15" s="8">
        <f>K15/(D15)</f>
        <v>24</v>
      </c>
      <c r="M15" s="8">
        <f>C15/(D15)</f>
        <v>14</v>
      </c>
      <c r="N15" s="8">
        <v>0.91</v>
      </c>
      <c r="O15" s="5" t="s">
        <v>103</v>
      </c>
      <c r="P15" s="6">
        <v>0.92</v>
      </c>
    </row>
    <row r="16" spans="1:21" ht="18">
      <c r="A16" s="2">
        <v>10</v>
      </c>
      <c r="B16" s="4">
        <v>1</v>
      </c>
      <c r="C16" s="4">
        <v>39</v>
      </c>
      <c r="D16" s="4">
        <v>2</v>
      </c>
      <c r="E16" s="4">
        <v>3.9</v>
      </c>
      <c r="F16" s="4">
        <v>2</v>
      </c>
      <c r="G16" s="4">
        <v>1.0900000000000001</v>
      </c>
      <c r="H16" s="5" t="s">
        <v>30</v>
      </c>
      <c r="I16" s="6" t="s">
        <v>27</v>
      </c>
      <c r="J16" s="7">
        <v>42901</v>
      </c>
      <c r="K16" s="5">
        <f t="shared" si="0"/>
        <v>60</v>
      </c>
      <c r="L16" s="8">
        <f>K16/(D16)</f>
        <v>30</v>
      </c>
      <c r="M16" s="8">
        <f>C16/(D16)</f>
        <v>19.5</v>
      </c>
      <c r="N16" s="8">
        <v>0.91</v>
      </c>
      <c r="O16" s="5" t="s">
        <v>98</v>
      </c>
      <c r="P16" s="6">
        <v>0.92</v>
      </c>
    </row>
    <row r="17" spans="1:16" ht="18">
      <c r="A17" s="2">
        <v>9</v>
      </c>
      <c r="B17" s="4">
        <v>0</v>
      </c>
      <c r="C17" s="4">
        <v>68</v>
      </c>
      <c r="D17" s="4" t="s">
        <v>17</v>
      </c>
      <c r="E17" s="4">
        <v>7.55</v>
      </c>
      <c r="F17" s="4">
        <v>2</v>
      </c>
      <c r="G17" s="4">
        <v>1.0900000000000001</v>
      </c>
      <c r="H17" s="5" t="s">
        <v>26</v>
      </c>
      <c r="I17" s="6" t="s">
        <v>68</v>
      </c>
      <c r="J17" s="7">
        <v>42904</v>
      </c>
      <c r="K17" s="5">
        <f t="shared" si="0"/>
        <v>54</v>
      </c>
      <c r="L17" s="8" t="s">
        <v>17</v>
      </c>
      <c r="M17" s="8" t="s">
        <v>17</v>
      </c>
      <c r="N17" s="8">
        <v>0.91</v>
      </c>
      <c r="O17" s="5" t="s">
        <v>102</v>
      </c>
      <c r="P17" s="6">
        <v>0.92</v>
      </c>
    </row>
    <row r="18" spans="1:16" ht="18">
      <c r="A18" s="2">
        <v>6.2</v>
      </c>
      <c r="B18" s="4">
        <v>0</v>
      </c>
      <c r="C18" s="4">
        <v>22</v>
      </c>
      <c r="D18" s="4">
        <v>2</v>
      </c>
      <c r="E18" s="4">
        <v>3.47</v>
      </c>
      <c r="F18" s="4">
        <v>3</v>
      </c>
      <c r="G18" s="4">
        <v>1.0900000000000001</v>
      </c>
      <c r="H18" s="5" t="s">
        <v>28</v>
      </c>
      <c r="I18" s="6" t="s">
        <v>31</v>
      </c>
      <c r="J18" s="7">
        <v>42967</v>
      </c>
      <c r="K18" s="5">
        <f t="shared" si="0"/>
        <v>38</v>
      </c>
      <c r="L18" s="8">
        <f t="shared" ref="L18:L23" si="3">K18/(D18)</f>
        <v>19</v>
      </c>
      <c r="M18" s="8">
        <f t="shared" ref="M18:M23" si="4">C18/(D18)</f>
        <v>11</v>
      </c>
      <c r="N18" s="8">
        <v>0.91</v>
      </c>
      <c r="O18" s="5" t="s">
        <v>104</v>
      </c>
      <c r="P18" s="6">
        <v>0.54</v>
      </c>
    </row>
    <row r="19" spans="1:16" ht="18">
      <c r="A19" s="2">
        <v>10</v>
      </c>
      <c r="B19" s="4">
        <v>2</v>
      </c>
      <c r="C19" s="4">
        <v>43</v>
      </c>
      <c r="D19" s="4">
        <v>4</v>
      </c>
      <c r="E19" s="4">
        <v>4.3</v>
      </c>
      <c r="F19" s="4">
        <v>2</v>
      </c>
      <c r="G19" s="4">
        <v>1.0900000000000001</v>
      </c>
      <c r="H19" s="5" t="s">
        <v>28</v>
      </c>
      <c r="I19" s="6" t="s">
        <v>32</v>
      </c>
      <c r="J19" s="7">
        <v>42971</v>
      </c>
      <c r="K19" s="5">
        <f t="shared" si="0"/>
        <v>60</v>
      </c>
      <c r="L19" s="8">
        <f t="shared" si="3"/>
        <v>15</v>
      </c>
      <c r="M19" s="8">
        <f t="shared" si="4"/>
        <v>10.75</v>
      </c>
      <c r="N19" s="8">
        <v>0.91</v>
      </c>
      <c r="O19" s="5" t="s">
        <v>104</v>
      </c>
      <c r="P19" s="6">
        <v>0.54</v>
      </c>
    </row>
    <row r="20" spans="1:16" ht="18">
      <c r="A20" s="2">
        <v>10</v>
      </c>
      <c r="B20" s="4">
        <v>2</v>
      </c>
      <c r="C20" s="4">
        <v>27</v>
      </c>
      <c r="D20" s="4">
        <v>5</v>
      </c>
      <c r="E20" s="4">
        <v>2.7</v>
      </c>
      <c r="F20" s="4">
        <v>2</v>
      </c>
      <c r="G20" s="4">
        <v>1.0900000000000001</v>
      </c>
      <c r="H20" s="5" t="s">
        <v>28</v>
      </c>
      <c r="I20" s="6" t="s">
        <v>32</v>
      </c>
      <c r="J20" s="7">
        <v>42974</v>
      </c>
      <c r="K20" s="5">
        <f t="shared" si="0"/>
        <v>60</v>
      </c>
      <c r="L20" s="8">
        <f t="shared" si="3"/>
        <v>12</v>
      </c>
      <c r="M20" s="8">
        <f t="shared" si="4"/>
        <v>5.4</v>
      </c>
      <c r="N20" s="8">
        <v>0.91</v>
      </c>
      <c r="O20" s="5" t="s">
        <v>104</v>
      </c>
      <c r="P20" s="6">
        <v>0.54</v>
      </c>
    </row>
    <row r="21" spans="1:16" ht="18">
      <c r="A21" s="2">
        <v>7</v>
      </c>
      <c r="B21" s="4">
        <v>0</v>
      </c>
      <c r="C21" s="4">
        <v>32</v>
      </c>
      <c r="D21" s="4">
        <v>2</v>
      </c>
      <c r="E21" s="4">
        <v>4.57</v>
      </c>
      <c r="F21" s="4">
        <v>2</v>
      </c>
      <c r="G21" s="4">
        <v>0.85</v>
      </c>
      <c r="H21" s="5" t="s">
        <v>28</v>
      </c>
      <c r="I21" s="6" t="s">
        <v>33</v>
      </c>
      <c r="J21" s="7">
        <v>42978</v>
      </c>
      <c r="K21" s="5">
        <f t="shared" si="0"/>
        <v>42</v>
      </c>
      <c r="L21" s="8">
        <f t="shared" si="3"/>
        <v>21</v>
      </c>
      <c r="M21" s="8">
        <f t="shared" si="4"/>
        <v>16</v>
      </c>
      <c r="N21" s="8">
        <v>0.91</v>
      </c>
      <c r="O21" s="5" t="s">
        <v>104</v>
      </c>
      <c r="P21" s="6">
        <v>0.54</v>
      </c>
    </row>
    <row r="22" spans="1:16" ht="18">
      <c r="A22" s="2">
        <v>10</v>
      </c>
      <c r="B22" s="4">
        <v>0</v>
      </c>
      <c r="C22" s="4">
        <v>45</v>
      </c>
      <c r="D22" s="4">
        <v>2</v>
      </c>
      <c r="E22" s="4">
        <v>4.5</v>
      </c>
      <c r="F22" s="4">
        <v>3</v>
      </c>
      <c r="G22" s="4">
        <v>1.0900000000000001</v>
      </c>
      <c r="H22" s="5" t="s">
        <v>28</v>
      </c>
      <c r="I22" s="6" t="s">
        <v>33</v>
      </c>
      <c r="J22" s="7">
        <v>42981</v>
      </c>
      <c r="K22" s="5">
        <f t="shared" si="0"/>
        <v>60</v>
      </c>
      <c r="L22" s="8">
        <f t="shared" si="3"/>
        <v>30</v>
      </c>
      <c r="M22" s="8">
        <f t="shared" si="4"/>
        <v>22.5</v>
      </c>
      <c r="N22" s="8">
        <v>0.91</v>
      </c>
      <c r="O22" s="5" t="s">
        <v>104</v>
      </c>
      <c r="P22" s="6">
        <v>0.54</v>
      </c>
    </row>
    <row r="23" spans="1:16" ht="18">
      <c r="A23" s="2">
        <v>4</v>
      </c>
      <c r="B23" s="4">
        <v>0</v>
      </c>
      <c r="C23" s="4">
        <v>20</v>
      </c>
      <c r="D23" s="4">
        <v>1</v>
      </c>
      <c r="E23" s="4">
        <v>5</v>
      </c>
      <c r="F23" s="4">
        <v>2</v>
      </c>
      <c r="G23" s="4">
        <v>0.85</v>
      </c>
      <c r="H23" s="5" t="s">
        <v>13</v>
      </c>
      <c r="I23" s="6" t="s">
        <v>34</v>
      </c>
      <c r="J23" s="7">
        <v>42995</v>
      </c>
      <c r="K23" s="5">
        <f t="shared" si="0"/>
        <v>24</v>
      </c>
      <c r="L23" s="8">
        <f t="shared" si="3"/>
        <v>24</v>
      </c>
      <c r="M23" s="8">
        <f t="shared" si="4"/>
        <v>20</v>
      </c>
      <c r="N23" s="8">
        <v>1.1299999999999999</v>
      </c>
      <c r="O23" s="5" t="s">
        <v>97</v>
      </c>
      <c r="P23" s="6">
        <v>1.1299999999999999</v>
      </c>
    </row>
    <row r="24" spans="1:16" ht="18">
      <c r="A24" s="2">
        <v>7</v>
      </c>
      <c r="B24" s="4">
        <v>1</v>
      </c>
      <c r="C24" s="4">
        <v>39</v>
      </c>
      <c r="D24" s="4" t="s">
        <v>17</v>
      </c>
      <c r="E24" s="4">
        <v>5.57</v>
      </c>
      <c r="F24" s="4">
        <v>2</v>
      </c>
      <c r="G24" s="4">
        <v>0.85</v>
      </c>
      <c r="H24" s="5" t="s">
        <v>13</v>
      </c>
      <c r="I24" s="6" t="s">
        <v>25</v>
      </c>
      <c r="J24" s="7">
        <v>42999</v>
      </c>
      <c r="K24" s="5">
        <f t="shared" si="0"/>
        <v>42</v>
      </c>
      <c r="L24" s="8" t="s">
        <v>17</v>
      </c>
      <c r="M24" s="8" t="s">
        <v>17</v>
      </c>
      <c r="N24" s="8">
        <v>1.1299999999999999</v>
      </c>
      <c r="O24" s="5" t="s">
        <v>97</v>
      </c>
      <c r="P24" s="6">
        <v>1.1299999999999999</v>
      </c>
    </row>
    <row r="25" spans="1:16" ht="18">
      <c r="A25" s="2">
        <v>10</v>
      </c>
      <c r="B25" s="4">
        <v>0</v>
      </c>
      <c r="C25" s="4">
        <v>52</v>
      </c>
      <c r="D25" s="4">
        <v>2</v>
      </c>
      <c r="E25" s="4">
        <v>5.2</v>
      </c>
      <c r="F25" s="4">
        <v>2</v>
      </c>
      <c r="G25" s="4">
        <v>1.0900000000000001</v>
      </c>
      <c r="H25" s="5" t="s">
        <v>13</v>
      </c>
      <c r="I25" s="6" t="s">
        <v>35</v>
      </c>
      <c r="J25" s="7">
        <v>43002</v>
      </c>
      <c r="K25" s="5">
        <f t="shared" si="0"/>
        <v>60</v>
      </c>
      <c r="L25" s="8">
        <f t="shared" ref="L25:L43" si="5">K25/(D25)</f>
        <v>30</v>
      </c>
      <c r="M25" s="8">
        <f t="shared" ref="M25:M43" si="6">C25/(D25)</f>
        <v>26</v>
      </c>
      <c r="N25" s="8">
        <v>1.1299999999999999</v>
      </c>
      <c r="O25" s="5" t="s">
        <v>97</v>
      </c>
      <c r="P25" s="6">
        <v>1.1299999999999999</v>
      </c>
    </row>
    <row r="26" spans="1:16" ht="18">
      <c r="A26" s="2">
        <v>10</v>
      </c>
      <c r="B26" s="4">
        <v>2</v>
      </c>
      <c r="C26" s="4">
        <v>51</v>
      </c>
      <c r="D26" s="4">
        <v>2</v>
      </c>
      <c r="E26" s="4">
        <v>5.0999999999999996</v>
      </c>
      <c r="F26" s="4">
        <v>2</v>
      </c>
      <c r="G26" s="4">
        <v>1.0900000000000001</v>
      </c>
      <c r="H26" s="5" t="s">
        <v>13</v>
      </c>
      <c r="I26" s="6" t="s">
        <v>36</v>
      </c>
      <c r="J26" s="7">
        <v>43009</v>
      </c>
      <c r="K26" s="5">
        <f t="shared" si="0"/>
        <v>60</v>
      </c>
      <c r="L26" s="8">
        <f t="shared" si="5"/>
        <v>30</v>
      </c>
      <c r="M26" s="8">
        <f t="shared" si="6"/>
        <v>25.5</v>
      </c>
      <c r="N26" s="8">
        <v>1.1299999999999999</v>
      </c>
      <c r="O26" s="5" t="s">
        <v>97</v>
      </c>
      <c r="P26" s="6">
        <v>1.1299999999999999</v>
      </c>
    </row>
    <row r="27" spans="1:16" ht="18">
      <c r="A27" s="2">
        <v>9</v>
      </c>
      <c r="B27" s="4">
        <v>0</v>
      </c>
      <c r="C27" s="4">
        <v>56</v>
      </c>
      <c r="D27" s="4">
        <v>1</v>
      </c>
      <c r="E27" s="4">
        <v>6.22</v>
      </c>
      <c r="F27" s="4">
        <v>2</v>
      </c>
      <c r="G27" s="4">
        <v>0.85</v>
      </c>
      <c r="H27" s="5" t="s">
        <v>18</v>
      </c>
      <c r="I27" s="6" t="s">
        <v>37</v>
      </c>
      <c r="J27" s="7">
        <v>43030</v>
      </c>
      <c r="K27" s="5">
        <f t="shared" si="0"/>
        <v>54</v>
      </c>
      <c r="L27" s="8">
        <f t="shared" si="5"/>
        <v>54</v>
      </c>
      <c r="M27" s="8">
        <f t="shared" si="6"/>
        <v>56</v>
      </c>
      <c r="N27" s="8">
        <v>1.1299999999999999</v>
      </c>
      <c r="O27" s="5" t="s">
        <v>101</v>
      </c>
      <c r="P27" s="6">
        <v>1.1299999999999999</v>
      </c>
    </row>
    <row r="28" spans="1:16" ht="18">
      <c r="A28" s="2">
        <v>10</v>
      </c>
      <c r="B28" s="4">
        <v>2</v>
      </c>
      <c r="C28" s="4">
        <v>38</v>
      </c>
      <c r="D28" s="4">
        <v>2</v>
      </c>
      <c r="E28" s="4">
        <v>3.8</v>
      </c>
      <c r="F28" s="4">
        <v>2</v>
      </c>
      <c r="G28" s="4">
        <v>1.0900000000000001</v>
      </c>
      <c r="H28" s="5" t="s">
        <v>18</v>
      </c>
      <c r="I28" s="6" t="s">
        <v>23</v>
      </c>
      <c r="J28" s="7">
        <v>43033</v>
      </c>
      <c r="K28" s="5">
        <f t="shared" si="0"/>
        <v>60</v>
      </c>
      <c r="L28" s="8">
        <f t="shared" si="5"/>
        <v>30</v>
      </c>
      <c r="M28" s="8">
        <f t="shared" si="6"/>
        <v>19</v>
      </c>
      <c r="N28" s="8">
        <v>1.1299999999999999</v>
      </c>
      <c r="O28" s="5" t="s">
        <v>101</v>
      </c>
      <c r="P28" s="6">
        <v>1.1299999999999999</v>
      </c>
    </row>
    <row r="29" spans="1:16" ht="18">
      <c r="A29" s="2">
        <v>10</v>
      </c>
      <c r="B29" s="4">
        <v>0</v>
      </c>
      <c r="C29" s="4">
        <v>47</v>
      </c>
      <c r="D29" s="4">
        <v>3</v>
      </c>
      <c r="E29" s="4">
        <v>4.7</v>
      </c>
      <c r="F29" s="4">
        <v>2</v>
      </c>
      <c r="G29" s="4">
        <v>0.85</v>
      </c>
      <c r="H29" s="5" t="s">
        <v>18</v>
      </c>
      <c r="I29" s="6" t="s">
        <v>38</v>
      </c>
      <c r="J29" s="7">
        <v>43037</v>
      </c>
      <c r="K29" s="5">
        <f t="shared" si="0"/>
        <v>60</v>
      </c>
      <c r="L29" s="8">
        <f t="shared" si="5"/>
        <v>20</v>
      </c>
      <c r="M29" s="8">
        <f t="shared" si="6"/>
        <v>15.666666666666666</v>
      </c>
      <c r="N29" s="8">
        <v>1.1299999999999999</v>
      </c>
      <c r="O29" s="5" t="s">
        <v>101</v>
      </c>
      <c r="P29" s="6">
        <v>1.1299999999999999</v>
      </c>
    </row>
    <row r="30" spans="1:16" ht="18">
      <c r="A30" s="2">
        <v>7</v>
      </c>
      <c r="B30" s="4">
        <v>1</v>
      </c>
      <c r="C30" s="4">
        <v>32</v>
      </c>
      <c r="D30" s="4">
        <v>1</v>
      </c>
      <c r="E30" s="4">
        <v>4.57</v>
      </c>
      <c r="F30" s="4">
        <v>2</v>
      </c>
      <c r="G30" s="4">
        <v>0.85</v>
      </c>
      <c r="H30" s="5" t="s">
        <v>28</v>
      </c>
      <c r="I30" s="6" t="s">
        <v>19</v>
      </c>
      <c r="J30" s="7">
        <v>43079</v>
      </c>
      <c r="K30" s="5">
        <f t="shared" si="0"/>
        <v>42</v>
      </c>
      <c r="L30" s="8">
        <f t="shared" si="5"/>
        <v>42</v>
      </c>
      <c r="M30" s="8">
        <f t="shared" si="6"/>
        <v>32</v>
      </c>
      <c r="N30" s="8">
        <v>1.1299999999999999</v>
      </c>
      <c r="O30" s="5" t="s">
        <v>104</v>
      </c>
      <c r="P30" s="6">
        <v>1.1299999999999999</v>
      </c>
    </row>
    <row r="31" spans="1:16" ht="18">
      <c r="A31" s="2">
        <v>10</v>
      </c>
      <c r="B31" s="4">
        <v>0</v>
      </c>
      <c r="C31" s="4">
        <v>43</v>
      </c>
      <c r="D31" s="4">
        <v>2</v>
      </c>
      <c r="E31" s="4">
        <v>4.3</v>
      </c>
      <c r="F31" s="4">
        <v>3</v>
      </c>
      <c r="G31" s="4">
        <v>0.85</v>
      </c>
      <c r="H31" s="5" t="s">
        <v>28</v>
      </c>
      <c r="I31" s="6" t="s">
        <v>21</v>
      </c>
      <c r="J31" s="7">
        <v>43082</v>
      </c>
      <c r="K31" s="5">
        <f t="shared" si="0"/>
        <v>60</v>
      </c>
      <c r="L31" s="8">
        <f t="shared" si="5"/>
        <v>30</v>
      </c>
      <c r="M31" s="8">
        <f t="shared" si="6"/>
        <v>21.5</v>
      </c>
      <c r="N31" s="8">
        <v>1.1299999999999999</v>
      </c>
      <c r="O31" s="5" t="s">
        <v>104</v>
      </c>
      <c r="P31" s="6">
        <v>1.1299999999999999</v>
      </c>
    </row>
    <row r="32" spans="1:16" ht="18">
      <c r="A32" s="2">
        <v>8</v>
      </c>
      <c r="B32" s="4">
        <v>1</v>
      </c>
      <c r="C32" s="4">
        <v>39</v>
      </c>
      <c r="D32" s="4">
        <v>1</v>
      </c>
      <c r="E32" s="4">
        <v>4.87</v>
      </c>
      <c r="F32" s="4">
        <v>2</v>
      </c>
      <c r="G32" s="4">
        <v>1.0900000000000001</v>
      </c>
      <c r="H32" s="5" t="s">
        <v>28</v>
      </c>
      <c r="I32" s="6" t="s">
        <v>67</v>
      </c>
      <c r="J32" s="7">
        <v>43086</v>
      </c>
      <c r="K32" s="5">
        <f t="shared" si="0"/>
        <v>48</v>
      </c>
      <c r="L32" s="8">
        <f t="shared" si="5"/>
        <v>48</v>
      </c>
      <c r="M32" s="8">
        <f t="shared" si="6"/>
        <v>39</v>
      </c>
      <c r="N32" s="8">
        <v>1.1299999999999999</v>
      </c>
      <c r="O32" s="5" t="s">
        <v>104</v>
      </c>
      <c r="P32" s="6">
        <v>1.1299999999999999</v>
      </c>
    </row>
    <row r="33" spans="1:16" ht="18">
      <c r="A33" s="2">
        <v>10</v>
      </c>
      <c r="B33" s="4">
        <v>0</v>
      </c>
      <c r="C33" s="4">
        <v>56</v>
      </c>
      <c r="D33" s="4">
        <v>1</v>
      </c>
      <c r="E33" s="4">
        <v>5.6</v>
      </c>
      <c r="F33" s="4">
        <v>2</v>
      </c>
      <c r="G33" s="4">
        <v>1.0900000000000001</v>
      </c>
      <c r="H33" s="5" t="s">
        <v>29</v>
      </c>
      <c r="I33" s="6" t="s">
        <v>39</v>
      </c>
      <c r="J33" s="7">
        <v>43132</v>
      </c>
      <c r="K33" s="5">
        <f t="shared" si="0"/>
        <v>60</v>
      </c>
      <c r="L33" s="8">
        <f t="shared" si="5"/>
        <v>60</v>
      </c>
      <c r="M33" s="8">
        <f t="shared" si="6"/>
        <v>56</v>
      </c>
      <c r="N33" s="8">
        <v>0.91</v>
      </c>
      <c r="O33" s="5" t="s">
        <v>103</v>
      </c>
      <c r="P33" s="6">
        <v>0.99</v>
      </c>
    </row>
    <row r="34" spans="1:16" ht="18">
      <c r="A34" s="2">
        <v>5</v>
      </c>
      <c r="B34" s="4">
        <v>1</v>
      </c>
      <c r="C34" s="4">
        <v>12</v>
      </c>
      <c r="D34" s="4">
        <v>1</v>
      </c>
      <c r="E34" s="4">
        <v>2.4</v>
      </c>
      <c r="F34" s="4">
        <v>2</v>
      </c>
      <c r="G34" s="4">
        <v>1.0900000000000001</v>
      </c>
      <c r="H34" s="5" t="s">
        <v>29</v>
      </c>
      <c r="I34" s="6" t="s">
        <v>40</v>
      </c>
      <c r="J34" s="7">
        <v>43135</v>
      </c>
      <c r="K34" s="5">
        <f t="shared" ref="K34:K65" si="7">(INT(A34)*6)+(MOD(A34,1)*10)</f>
        <v>30</v>
      </c>
      <c r="L34" s="8">
        <f t="shared" si="5"/>
        <v>30</v>
      </c>
      <c r="M34" s="8">
        <f t="shared" si="6"/>
        <v>12</v>
      </c>
      <c r="N34" s="8">
        <v>0.91</v>
      </c>
      <c r="O34" s="5" t="s">
        <v>103</v>
      </c>
      <c r="P34" s="6">
        <v>0.99</v>
      </c>
    </row>
    <row r="35" spans="1:16" ht="18">
      <c r="A35" s="2">
        <v>7</v>
      </c>
      <c r="B35" s="4">
        <v>0</v>
      </c>
      <c r="C35" s="4">
        <v>32</v>
      </c>
      <c r="D35" s="4">
        <v>2</v>
      </c>
      <c r="E35" s="4">
        <v>4.57</v>
      </c>
      <c r="F35" s="4">
        <v>2</v>
      </c>
      <c r="G35" s="4">
        <v>0.85</v>
      </c>
      <c r="H35" s="5" t="s">
        <v>29</v>
      </c>
      <c r="I35" s="6" t="s">
        <v>41</v>
      </c>
      <c r="J35" s="7">
        <v>43138</v>
      </c>
      <c r="K35" s="5">
        <f t="shared" si="7"/>
        <v>42</v>
      </c>
      <c r="L35" s="8">
        <f t="shared" si="5"/>
        <v>21</v>
      </c>
      <c r="M35" s="8">
        <f t="shared" si="6"/>
        <v>16</v>
      </c>
      <c r="N35" s="8">
        <v>0.91</v>
      </c>
      <c r="O35" s="5" t="s">
        <v>103</v>
      </c>
      <c r="P35" s="6">
        <v>0.99</v>
      </c>
    </row>
    <row r="36" spans="1:16" ht="18">
      <c r="A36" s="2">
        <v>5</v>
      </c>
      <c r="B36" s="4">
        <v>0</v>
      </c>
      <c r="C36" s="4">
        <v>21</v>
      </c>
      <c r="D36" s="4">
        <v>1</v>
      </c>
      <c r="E36" s="4">
        <v>4.2</v>
      </c>
      <c r="F36" s="4">
        <v>2</v>
      </c>
      <c r="G36" s="4">
        <v>0.85</v>
      </c>
      <c r="H36" s="5" t="s">
        <v>29</v>
      </c>
      <c r="I36" s="6" t="s">
        <v>42</v>
      </c>
      <c r="J36" s="7">
        <v>43141</v>
      </c>
      <c r="K36" s="5">
        <f t="shared" si="7"/>
        <v>30</v>
      </c>
      <c r="L36" s="8">
        <f t="shared" si="5"/>
        <v>30</v>
      </c>
      <c r="M36" s="8">
        <f t="shared" si="6"/>
        <v>21</v>
      </c>
      <c r="N36" s="8">
        <v>0.91</v>
      </c>
      <c r="O36" s="5" t="s">
        <v>103</v>
      </c>
      <c r="P36" s="6">
        <v>0.99</v>
      </c>
    </row>
    <row r="37" spans="1:16" ht="18">
      <c r="A37" s="2">
        <v>7</v>
      </c>
      <c r="B37" s="4">
        <v>0</v>
      </c>
      <c r="C37" s="4">
        <v>22</v>
      </c>
      <c r="D37" s="4">
        <v>1</v>
      </c>
      <c r="E37" s="4">
        <v>3.14</v>
      </c>
      <c r="F37" s="4">
        <v>2</v>
      </c>
      <c r="G37" s="4">
        <v>0.85</v>
      </c>
      <c r="H37" s="5" t="s">
        <v>29</v>
      </c>
      <c r="I37" s="6" t="s">
        <v>43</v>
      </c>
      <c r="J37" s="7">
        <v>43144</v>
      </c>
      <c r="K37" s="5">
        <f t="shared" si="7"/>
        <v>42</v>
      </c>
      <c r="L37" s="8">
        <f t="shared" si="5"/>
        <v>42</v>
      </c>
      <c r="M37" s="8">
        <f t="shared" si="6"/>
        <v>22</v>
      </c>
      <c r="N37" s="8">
        <v>0.91</v>
      </c>
      <c r="O37" s="5" t="s">
        <v>103</v>
      </c>
      <c r="P37" s="6">
        <v>0.99</v>
      </c>
    </row>
    <row r="38" spans="1:16" ht="18">
      <c r="A38" s="2">
        <v>8</v>
      </c>
      <c r="B38" s="4">
        <v>1</v>
      </c>
      <c r="C38" s="4">
        <v>24</v>
      </c>
      <c r="D38" s="4">
        <v>2</v>
      </c>
      <c r="E38" s="4">
        <v>3</v>
      </c>
      <c r="F38" s="4">
        <v>2</v>
      </c>
      <c r="G38" s="4">
        <v>1.0900000000000001</v>
      </c>
      <c r="H38" s="5" t="s">
        <v>29</v>
      </c>
      <c r="I38" s="6" t="s">
        <v>40</v>
      </c>
      <c r="J38" s="7">
        <v>43147</v>
      </c>
      <c r="K38" s="5">
        <f t="shared" si="7"/>
        <v>48</v>
      </c>
      <c r="L38" s="8">
        <f t="shared" si="5"/>
        <v>24</v>
      </c>
      <c r="M38" s="8">
        <f t="shared" si="6"/>
        <v>12</v>
      </c>
      <c r="N38" s="8">
        <v>0.91</v>
      </c>
      <c r="O38" s="5" t="s">
        <v>103</v>
      </c>
      <c r="P38" s="6">
        <v>0.99</v>
      </c>
    </row>
    <row r="39" spans="1:16" ht="18">
      <c r="A39" s="2">
        <v>7.1</v>
      </c>
      <c r="B39" s="4">
        <v>2</v>
      </c>
      <c r="C39" s="4">
        <v>23</v>
      </c>
      <c r="D39" s="4">
        <v>2</v>
      </c>
      <c r="E39" s="4">
        <v>3.2</v>
      </c>
      <c r="F39" s="4">
        <v>2</v>
      </c>
      <c r="G39" s="4">
        <v>1.0900000000000001</v>
      </c>
      <c r="H39" s="5" t="s">
        <v>26</v>
      </c>
      <c r="I39" s="6" t="s">
        <v>44</v>
      </c>
      <c r="J39" s="7">
        <v>43362</v>
      </c>
      <c r="K39" s="5">
        <f t="shared" si="7"/>
        <v>43</v>
      </c>
      <c r="L39" s="8">
        <f t="shared" si="5"/>
        <v>21.5</v>
      </c>
      <c r="M39" s="8">
        <f t="shared" si="6"/>
        <v>11.5</v>
      </c>
      <c r="N39" s="8">
        <v>0.91</v>
      </c>
      <c r="O39" s="5" t="s">
        <v>102</v>
      </c>
      <c r="P39" s="6">
        <v>0.68</v>
      </c>
    </row>
    <row r="40" spans="1:16" ht="18">
      <c r="A40" s="2">
        <v>9.1</v>
      </c>
      <c r="B40" s="4">
        <v>1</v>
      </c>
      <c r="C40" s="4">
        <v>37</v>
      </c>
      <c r="D40" s="4">
        <v>3</v>
      </c>
      <c r="E40" s="4">
        <v>4.03</v>
      </c>
      <c r="F40" s="4">
        <v>2</v>
      </c>
      <c r="G40" s="4">
        <v>1.0900000000000001</v>
      </c>
      <c r="H40" s="5" t="s">
        <v>30</v>
      </c>
      <c r="I40" s="6" t="s">
        <v>44</v>
      </c>
      <c r="J40" s="7">
        <v>43364</v>
      </c>
      <c r="K40" s="5">
        <f t="shared" si="7"/>
        <v>55</v>
      </c>
      <c r="L40" s="8">
        <f t="shared" si="5"/>
        <v>18.333333333333332</v>
      </c>
      <c r="M40" s="8">
        <f t="shared" si="6"/>
        <v>12.333333333333334</v>
      </c>
      <c r="N40" s="8">
        <v>0.91</v>
      </c>
      <c r="O40" s="5" t="s">
        <v>98</v>
      </c>
      <c r="P40" s="6">
        <v>0.68</v>
      </c>
    </row>
    <row r="41" spans="1:16" ht="18">
      <c r="A41" s="2">
        <v>10</v>
      </c>
      <c r="B41" s="4">
        <v>1</v>
      </c>
      <c r="C41" s="4">
        <v>29</v>
      </c>
      <c r="D41" s="4">
        <v>2</v>
      </c>
      <c r="E41" s="4">
        <v>2.9</v>
      </c>
      <c r="F41" s="4">
        <v>2</v>
      </c>
      <c r="G41" s="4">
        <v>1.0900000000000001</v>
      </c>
      <c r="H41" s="5" t="s">
        <v>26</v>
      </c>
      <c r="I41" s="6" t="s">
        <v>44</v>
      </c>
      <c r="J41" s="7">
        <v>43366</v>
      </c>
      <c r="K41" s="5">
        <f t="shared" si="7"/>
        <v>60</v>
      </c>
      <c r="L41" s="8">
        <f t="shared" si="5"/>
        <v>30</v>
      </c>
      <c r="M41" s="8">
        <f t="shared" si="6"/>
        <v>14.5</v>
      </c>
      <c r="N41" s="8">
        <v>0.91</v>
      </c>
      <c r="O41" s="5" t="s">
        <v>102</v>
      </c>
      <c r="P41" s="6">
        <v>0.68</v>
      </c>
    </row>
    <row r="42" spans="1:16" ht="18">
      <c r="A42" s="2">
        <v>8.3000000000000007</v>
      </c>
      <c r="B42" s="4">
        <v>0</v>
      </c>
      <c r="C42" s="4">
        <v>39</v>
      </c>
      <c r="D42" s="4">
        <v>1</v>
      </c>
      <c r="E42" s="4">
        <v>4.58</v>
      </c>
      <c r="F42" s="4">
        <v>2</v>
      </c>
      <c r="G42" s="4">
        <v>1.0900000000000001</v>
      </c>
      <c r="H42" s="5" t="s">
        <v>30</v>
      </c>
      <c r="I42" s="6" t="s">
        <v>44</v>
      </c>
      <c r="J42" s="7">
        <v>43371</v>
      </c>
      <c r="K42" s="5">
        <f t="shared" si="7"/>
        <v>51.000000000000007</v>
      </c>
      <c r="L42" s="8">
        <f t="shared" si="5"/>
        <v>51.000000000000007</v>
      </c>
      <c r="M42" s="8">
        <f t="shared" si="6"/>
        <v>39</v>
      </c>
      <c r="N42" s="8">
        <v>0.91</v>
      </c>
      <c r="O42" s="5" t="s">
        <v>98</v>
      </c>
      <c r="P42" s="6">
        <v>0.68</v>
      </c>
    </row>
    <row r="43" spans="1:16" ht="18">
      <c r="A43" s="2">
        <v>10</v>
      </c>
      <c r="B43" s="4">
        <v>1</v>
      </c>
      <c r="C43" s="4">
        <v>35</v>
      </c>
      <c r="D43" s="4">
        <v>4</v>
      </c>
      <c r="E43" s="4">
        <v>3.5</v>
      </c>
      <c r="F43" s="4">
        <v>2</v>
      </c>
      <c r="G43" s="4">
        <v>1.0900000000000001</v>
      </c>
      <c r="H43" s="5" t="s">
        <v>45</v>
      </c>
      <c r="I43" s="6" t="s">
        <v>23</v>
      </c>
      <c r="J43" s="7">
        <v>43400</v>
      </c>
      <c r="K43" s="5">
        <f t="shared" si="7"/>
        <v>60</v>
      </c>
      <c r="L43" s="8">
        <f t="shared" si="5"/>
        <v>15</v>
      </c>
      <c r="M43" s="8">
        <f t="shared" si="6"/>
        <v>8.75</v>
      </c>
      <c r="N43" s="8">
        <v>1.1299999999999999</v>
      </c>
      <c r="O43" s="5" t="s">
        <v>105</v>
      </c>
      <c r="P43" s="6">
        <v>1.1299999999999999</v>
      </c>
    </row>
    <row r="44" spans="1:16" ht="18">
      <c r="A44" s="2">
        <v>8</v>
      </c>
      <c r="B44" s="4">
        <v>1</v>
      </c>
      <c r="C44" s="4">
        <v>25</v>
      </c>
      <c r="D44" s="4" t="s">
        <v>17</v>
      </c>
      <c r="E44" s="4">
        <v>3.12</v>
      </c>
      <c r="F44" s="4">
        <v>2</v>
      </c>
      <c r="G44" s="4">
        <v>0.85</v>
      </c>
      <c r="H44" s="5" t="s">
        <v>45</v>
      </c>
      <c r="I44" s="6" t="s">
        <v>46</v>
      </c>
      <c r="J44" s="7">
        <v>43402</v>
      </c>
      <c r="K44" s="5">
        <f t="shared" si="7"/>
        <v>48</v>
      </c>
      <c r="L44" s="8" t="s">
        <v>17</v>
      </c>
      <c r="M44" s="8" t="s">
        <v>17</v>
      </c>
      <c r="N44" s="8">
        <v>1.1299999999999999</v>
      </c>
      <c r="O44" s="5" t="s">
        <v>105</v>
      </c>
      <c r="P44" s="6">
        <v>1.1299999999999999</v>
      </c>
    </row>
    <row r="45" spans="1:16" ht="18">
      <c r="A45" s="2">
        <v>6</v>
      </c>
      <c r="B45" s="4">
        <v>1</v>
      </c>
      <c r="C45" s="4">
        <v>11</v>
      </c>
      <c r="D45" s="4">
        <v>2</v>
      </c>
      <c r="E45" s="4">
        <v>1.83</v>
      </c>
      <c r="F45" s="4">
        <v>2</v>
      </c>
      <c r="G45" s="4">
        <v>1.0900000000000001</v>
      </c>
      <c r="H45" s="5" t="s">
        <v>45</v>
      </c>
      <c r="I45" s="6" t="s">
        <v>69</v>
      </c>
      <c r="J45" s="7">
        <v>43405</v>
      </c>
      <c r="K45" s="5">
        <f t="shared" si="7"/>
        <v>36</v>
      </c>
      <c r="L45" s="8">
        <f>K45/(D45)</f>
        <v>18</v>
      </c>
      <c r="M45" s="8">
        <f>C45/(D45)</f>
        <v>5.5</v>
      </c>
      <c r="N45" s="8">
        <v>1.1299999999999999</v>
      </c>
      <c r="O45" s="5" t="s">
        <v>105</v>
      </c>
      <c r="P45" s="6">
        <v>1.1299999999999999</v>
      </c>
    </row>
    <row r="46" spans="1:16" ht="18">
      <c r="A46" s="2">
        <v>10</v>
      </c>
      <c r="B46" s="4">
        <v>0</v>
      </c>
      <c r="C46" s="4">
        <v>60</v>
      </c>
      <c r="D46" s="4">
        <v>2</v>
      </c>
      <c r="E46" s="4">
        <v>6</v>
      </c>
      <c r="F46" s="4">
        <v>2</v>
      </c>
      <c r="G46" s="4">
        <v>1.0900000000000001</v>
      </c>
      <c r="H46" s="5" t="s">
        <v>13</v>
      </c>
      <c r="I46" s="6" t="s">
        <v>47</v>
      </c>
      <c r="J46" s="7">
        <v>43526</v>
      </c>
      <c r="K46" s="5">
        <f t="shared" si="7"/>
        <v>60</v>
      </c>
      <c r="L46" s="8">
        <f>K46/(D46)</f>
        <v>30</v>
      </c>
      <c r="M46" s="8">
        <f>C46/(D46)</f>
        <v>30</v>
      </c>
      <c r="N46" s="8">
        <v>1.1299999999999999</v>
      </c>
      <c r="O46" s="5" t="s">
        <v>97</v>
      </c>
      <c r="P46" s="6">
        <v>1.1299999999999999</v>
      </c>
    </row>
    <row r="47" spans="1:16" ht="18">
      <c r="A47" s="2">
        <v>10</v>
      </c>
      <c r="B47" s="4">
        <v>0</v>
      </c>
      <c r="C47" s="4">
        <v>29</v>
      </c>
      <c r="D47" s="4">
        <v>2</v>
      </c>
      <c r="E47" s="4">
        <v>2.9</v>
      </c>
      <c r="F47" s="4">
        <v>2</v>
      </c>
      <c r="G47" s="4">
        <v>0.85</v>
      </c>
      <c r="H47" s="5" t="s">
        <v>13</v>
      </c>
      <c r="I47" s="6" t="s">
        <v>36</v>
      </c>
      <c r="J47" s="7">
        <v>43529</v>
      </c>
      <c r="K47" s="5">
        <f t="shared" si="7"/>
        <v>60</v>
      </c>
      <c r="L47" s="8">
        <f>K47/(D47)</f>
        <v>30</v>
      </c>
      <c r="M47" s="8">
        <f>C47/(D47)</f>
        <v>14.5</v>
      </c>
      <c r="N47" s="8">
        <v>1.1299999999999999</v>
      </c>
      <c r="O47" s="5" t="s">
        <v>97</v>
      </c>
      <c r="P47" s="6">
        <v>1.1299999999999999</v>
      </c>
    </row>
    <row r="48" spans="1:16" ht="18">
      <c r="A48" s="2">
        <v>10</v>
      </c>
      <c r="B48" s="4">
        <v>0</v>
      </c>
      <c r="C48" s="4">
        <v>53</v>
      </c>
      <c r="D48" s="4" t="s">
        <v>17</v>
      </c>
      <c r="E48" s="4">
        <v>5.3</v>
      </c>
      <c r="F48" s="4">
        <v>2</v>
      </c>
      <c r="G48" s="4">
        <v>1.0900000000000001</v>
      </c>
      <c r="H48" s="5" t="s">
        <v>13</v>
      </c>
      <c r="I48" s="6" t="s">
        <v>48</v>
      </c>
      <c r="J48" s="7">
        <v>43532</v>
      </c>
      <c r="K48" s="5">
        <f t="shared" si="7"/>
        <v>60</v>
      </c>
      <c r="L48" s="8" t="s">
        <v>17</v>
      </c>
      <c r="M48" s="8" t="s">
        <v>17</v>
      </c>
      <c r="N48" s="8">
        <v>1.1299999999999999</v>
      </c>
      <c r="O48" s="5" t="s">
        <v>97</v>
      </c>
      <c r="P48" s="6">
        <v>1.1299999999999999</v>
      </c>
    </row>
    <row r="49" spans="1:16" ht="18">
      <c r="A49" s="2">
        <v>8.5</v>
      </c>
      <c r="B49" s="4">
        <v>0</v>
      </c>
      <c r="C49" s="4">
        <v>63</v>
      </c>
      <c r="D49" s="4">
        <v>3</v>
      </c>
      <c r="E49" s="4">
        <v>7.13</v>
      </c>
      <c r="F49" s="4">
        <v>2</v>
      </c>
      <c r="G49" s="4">
        <v>0.85</v>
      </c>
      <c r="H49" s="5" t="s">
        <v>13</v>
      </c>
      <c r="I49" s="6" t="s">
        <v>21</v>
      </c>
      <c r="J49" s="7">
        <v>43534</v>
      </c>
      <c r="K49" s="5">
        <f t="shared" si="7"/>
        <v>53</v>
      </c>
      <c r="L49" s="8">
        <f>K49/(D49)</f>
        <v>17.666666666666668</v>
      </c>
      <c r="M49" s="8">
        <f>C49/(D49)</f>
        <v>21</v>
      </c>
      <c r="N49" s="8">
        <v>1.1299999999999999</v>
      </c>
      <c r="O49" s="5" t="s">
        <v>97</v>
      </c>
      <c r="P49" s="6">
        <v>1.1299999999999999</v>
      </c>
    </row>
    <row r="50" spans="1:16" ht="18">
      <c r="A50" s="2">
        <v>10</v>
      </c>
      <c r="B50" s="4">
        <v>0</v>
      </c>
      <c r="C50" s="4">
        <v>39</v>
      </c>
      <c r="D50" s="4" t="s">
        <v>17</v>
      </c>
      <c r="E50" s="4">
        <v>3.9</v>
      </c>
      <c r="F50" s="4">
        <v>3</v>
      </c>
      <c r="G50" s="4">
        <v>1.0900000000000001</v>
      </c>
      <c r="H50" s="5" t="s">
        <v>13</v>
      </c>
      <c r="I50" s="6" t="s">
        <v>20</v>
      </c>
      <c r="J50" s="7">
        <v>43537</v>
      </c>
      <c r="K50" s="5">
        <f t="shared" si="7"/>
        <v>60</v>
      </c>
      <c r="L50" s="8" t="s">
        <v>17</v>
      </c>
      <c r="M50" s="8" t="s">
        <v>17</v>
      </c>
      <c r="N50" s="8">
        <v>1.1299999999999999</v>
      </c>
      <c r="O50" s="5" t="s">
        <v>97</v>
      </c>
      <c r="P50" s="6">
        <v>1.1299999999999999</v>
      </c>
    </row>
    <row r="51" spans="1:16" ht="18">
      <c r="A51" s="2">
        <v>10</v>
      </c>
      <c r="B51" s="4">
        <v>1</v>
      </c>
      <c r="C51" s="4">
        <v>35</v>
      </c>
      <c r="D51" s="4">
        <v>2</v>
      </c>
      <c r="E51" s="4">
        <v>3.5</v>
      </c>
      <c r="F51" s="4">
        <v>2</v>
      </c>
      <c r="G51" s="4">
        <v>1.0900000000000001</v>
      </c>
      <c r="H51" s="5" t="s">
        <v>29</v>
      </c>
      <c r="I51" s="6" t="s">
        <v>49</v>
      </c>
      <c r="J51" s="7">
        <v>43621</v>
      </c>
      <c r="K51" s="5">
        <f t="shared" si="7"/>
        <v>60</v>
      </c>
      <c r="L51" s="8">
        <f>K51/(D51)</f>
        <v>30</v>
      </c>
      <c r="M51" s="8">
        <f>C51/(D51)</f>
        <v>17.5</v>
      </c>
      <c r="N51" s="8">
        <v>0.91</v>
      </c>
      <c r="O51" s="5" t="s">
        <v>103</v>
      </c>
      <c r="P51" s="6">
        <v>0.92</v>
      </c>
    </row>
    <row r="52" spans="1:16" ht="18">
      <c r="A52" s="2">
        <v>10</v>
      </c>
      <c r="B52" s="4">
        <v>1</v>
      </c>
      <c r="C52" s="4">
        <v>61</v>
      </c>
      <c r="D52" s="4">
        <v>3</v>
      </c>
      <c r="E52" s="4">
        <v>6.1</v>
      </c>
      <c r="F52" s="4">
        <v>2</v>
      </c>
      <c r="G52" s="4">
        <v>0.85</v>
      </c>
      <c r="H52" s="5" t="s">
        <v>13</v>
      </c>
      <c r="I52" s="6" t="s">
        <v>68</v>
      </c>
      <c r="J52" s="7">
        <v>43625</v>
      </c>
      <c r="K52" s="5">
        <f t="shared" si="7"/>
        <v>60</v>
      </c>
      <c r="L52" s="8">
        <f>K52/(D52)</f>
        <v>20</v>
      </c>
      <c r="M52" s="8">
        <f>C52/(D52)</f>
        <v>20.333333333333332</v>
      </c>
      <c r="N52" s="8">
        <v>0.91</v>
      </c>
      <c r="O52" s="5" t="s">
        <v>97</v>
      </c>
      <c r="P52" s="6">
        <v>0.92</v>
      </c>
    </row>
    <row r="53" spans="1:16" ht="18">
      <c r="A53" s="2">
        <v>8</v>
      </c>
      <c r="B53" s="4">
        <v>0</v>
      </c>
      <c r="C53" s="4">
        <v>52</v>
      </c>
      <c r="D53" s="4" t="s">
        <v>17</v>
      </c>
      <c r="E53" s="4">
        <v>6.5</v>
      </c>
      <c r="F53" s="4">
        <v>2</v>
      </c>
      <c r="G53" s="4">
        <v>0.85</v>
      </c>
      <c r="H53" s="5" t="s">
        <v>26</v>
      </c>
      <c r="I53" s="6" t="s">
        <v>50</v>
      </c>
      <c r="J53" s="7">
        <v>43632</v>
      </c>
      <c r="K53" s="5">
        <f t="shared" si="7"/>
        <v>48</v>
      </c>
      <c r="L53" s="8" t="s">
        <v>17</v>
      </c>
      <c r="M53" s="8" t="s">
        <v>17</v>
      </c>
      <c r="N53" s="8">
        <v>0.91</v>
      </c>
      <c r="O53" s="5" t="s">
        <v>102</v>
      </c>
      <c r="P53" s="6">
        <v>0.92</v>
      </c>
    </row>
    <row r="54" spans="1:16" ht="18">
      <c r="A54" s="2">
        <v>10</v>
      </c>
      <c r="B54" s="4">
        <v>1</v>
      </c>
      <c r="C54" s="4">
        <v>39</v>
      </c>
      <c r="D54" s="4">
        <v>2</v>
      </c>
      <c r="E54" s="4">
        <v>3.9</v>
      </c>
      <c r="F54" s="4">
        <v>2</v>
      </c>
      <c r="G54" s="4">
        <v>0.85</v>
      </c>
      <c r="H54" s="5" t="s">
        <v>51</v>
      </c>
      <c r="I54" s="6" t="s">
        <v>49</v>
      </c>
      <c r="J54" s="7">
        <v>43638</v>
      </c>
      <c r="K54" s="5">
        <f t="shared" si="7"/>
        <v>60</v>
      </c>
      <c r="L54" s="8">
        <f t="shared" ref="L54:L59" si="8">K54/(D54)</f>
        <v>30</v>
      </c>
      <c r="M54" s="8">
        <f t="shared" ref="M54:M59" si="9">C54/(D54)</f>
        <v>19.5</v>
      </c>
      <c r="N54" s="8">
        <v>0.91</v>
      </c>
      <c r="O54" s="5" t="s">
        <v>96</v>
      </c>
      <c r="P54" s="6">
        <v>0.92</v>
      </c>
    </row>
    <row r="55" spans="1:16" ht="18">
      <c r="A55" s="2">
        <v>6</v>
      </c>
      <c r="B55" s="4">
        <v>1</v>
      </c>
      <c r="C55" s="4">
        <v>9</v>
      </c>
      <c r="D55" s="4">
        <v>2</v>
      </c>
      <c r="E55" s="4">
        <v>1.5</v>
      </c>
      <c r="F55" s="4">
        <v>2</v>
      </c>
      <c r="G55" s="4">
        <v>0.85</v>
      </c>
      <c r="H55" s="5" t="s">
        <v>45</v>
      </c>
      <c r="I55" s="6" t="s">
        <v>50</v>
      </c>
      <c r="J55" s="7">
        <v>43643</v>
      </c>
      <c r="K55" s="5">
        <f t="shared" si="7"/>
        <v>36</v>
      </c>
      <c r="L55" s="8">
        <f t="shared" si="8"/>
        <v>18</v>
      </c>
      <c r="M55" s="8">
        <f t="shared" si="9"/>
        <v>4.5</v>
      </c>
      <c r="N55" s="8">
        <v>0.91</v>
      </c>
      <c r="O55" s="5" t="s">
        <v>105</v>
      </c>
      <c r="P55" s="6">
        <v>0.92</v>
      </c>
    </row>
    <row r="56" spans="1:16" ht="18">
      <c r="A56" s="2">
        <v>10</v>
      </c>
      <c r="B56" s="4">
        <v>1</v>
      </c>
      <c r="C56" s="4">
        <v>44</v>
      </c>
      <c r="D56" s="4">
        <v>1</v>
      </c>
      <c r="E56" s="4">
        <v>4.4000000000000004</v>
      </c>
      <c r="F56" s="4">
        <v>2</v>
      </c>
      <c r="G56" s="4">
        <v>1.0900000000000001</v>
      </c>
      <c r="H56" s="5" t="s">
        <v>22</v>
      </c>
      <c r="I56" s="6" t="s">
        <v>27</v>
      </c>
      <c r="J56" s="7">
        <v>43646</v>
      </c>
      <c r="K56" s="5">
        <f t="shared" si="7"/>
        <v>60</v>
      </c>
      <c r="L56" s="8">
        <f t="shared" si="8"/>
        <v>60</v>
      </c>
      <c r="M56" s="8">
        <f t="shared" si="9"/>
        <v>44</v>
      </c>
      <c r="N56" s="8">
        <v>0.91</v>
      </c>
      <c r="O56" s="5" t="s">
        <v>99</v>
      </c>
      <c r="P56" s="6">
        <v>0.92</v>
      </c>
    </row>
    <row r="57" spans="1:16" ht="18">
      <c r="A57" s="2">
        <v>10</v>
      </c>
      <c r="B57" s="4">
        <v>1</v>
      </c>
      <c r="C57" s="4">
        <v>55</v>
      </c>
      <c r="D57" s="4">
        <v>4</v>
      </c>
      <c r="E57" s="4">
        <v>5.5</v>
      </c>
      <c r="F57" s="4">
        <v>2</v>
      </c>
      <c r="G57" s="4">
        <v>0.85</v>
      </c>
      <c r="H57" s="5" t="s">
        <v>30</v>
      </c>
      <c r="I57" s="6" t="s">
        <v>27</v>
      </c>
      <c r="J57" s="7">
        <v>43648</v>
      </c>
      <c r="K57" s="5">
        <f t="shared" si="7"/>
        <v>60</v>
      </c>
      <c r="L57" s="8">
        <f t="shared" si="8"/>
        <v>15</v>
      </c>
      <c r="M57" s="8">
        <f t="shared" si="9"/>
        <v>13.75</v>
      </c>
      <c r="N57" s="8">
        <v>0.91</v>
      </c>
      <c r="O57" s="5" t="s">
        <v>98</v>
      </c>
      <c r="P57" s="6">
        <v>0.92</v>
      </c>
    </row>
    <row r="58" spans="1:16" ht="18">
      <c r="A58" s="2">
        <v>10</v>
      </c>
      <c r="B58" s="4">
        <v>2</v>
      </c>
      <c r="C58" s="4">
        <v>37</v>
      </c>
      <c r="D58" s="4">
        <v>3</v>
      </c>
      <c r="E58" s="4">
        <v>3.7</v>
      </c>
      <c r="F58" s="4">
        <v>2</v>
      </c>
      <c r="G58" s="4">
        <v>1.0900000000000001</v>
      </c>
      <c r="H58" s="5" t="s">
        <v>28</v>
      </c>
      <c r="I58" s="6" t="s">
        <v>52</v>
      </c>
      <c r="J58" s="7">
        <v>43652</v>
      </c>
      <c r="K58" s="5">
        <f t="shared" si="7"/>
        <v>60</v>
      </c>
      <c r="L58" s="8">
        <f t="shared" si="8"/>
        <v>20</v>
      </c>
      <c r="M58" s="8">
        <f t="shared" si="9"/>
        <v>12.333333333333334</v>
      </c>
      <c r="N58" s="8">
        <v>0.91</v>
      </c>
      <c r="O58" s="5" t="s">
        <v>104</v>
      </c>
      <c r="P58" s="6">
        <v>0.92</v>
      </c>
    </row>
    <row r="59" spans="1:16" ht="18">
      <c r="A59" s="2">
        <v>10</v>
      </c>
      <c r="B59" s="4">
        <v>1</v>
      </c>
      <c r="C59" s="4">
        <v>39</v>
      </c>
      <c r="D59" s="4">
        <v>1</v>
      </c>
      <c r="E59" s="4">
        <v>3.9</v>
      </c>
      <c r="F59" s="4">
        <v>2</v>
      </c>
      <c r="G59" s="4">
        <v>1.0900000000000001</v>
      </c>
      <c r="H59" s="5" t="s">
        <v>18</v>
      </c>
      <c r="I59" s="6" t="s">
        <v>50</v>
      </c>
      <c r="J59" s="7">
        <v>43655</v>
      </c>
      <c r="K59" s="5">
        <f t="shared" si="7"/>
        <v>60</v>
      </c>
      <c r="L59" s="8">
        <f t="shared" si="8"/>
        <v>60</v>
      </c>
      <c r="M59" s="8">
        <f t="shared" si="9"/>
        <v>39</v>
      </c>
      <c r="N59" s="8">
        <v>0.91</v>
      </c>
      <c r="O59" s="5" t="s">
        <v>101</v>
      </c>
      <c r="P59" s="6">
        <v>0.92</v>
      </c>
    </row>
    <row r="60" spans="1:16" ht="18">
      <c r="A60" s="2">
        <v>7</v>
      </c>
      <c r="B60" s="4">
        <v>0</v>
      </c>
      <c r="C60" s="4">
        <v>50</v>
      </c>
      <c r="D60" s="4" t="s">
        <v>17</v>
      </c>
      <c r="E60" s="4">
        <v>7.14</v>
      </c>
      <c r="F60" s="4">
        <v>2</v>
      </c>
      <c r="G60" s="4">
        <v>0.85</v>
      </c>
      <c r="H60" s="5" t="s">
        <v>13</v>
      </c>
      <c r="I60" s="6" t="s">
        <v>37</v>
      </c>
      <c r="J60" s="7">
        <v>43844</v>
      </c>
      <c r="K60" s="5">
        <f t="shared" si="7"/>
        <v>42</v>
      </c>
      <c r="L60" s="8" t="s">
        <v>17</v>
      </c>
      <c r="M60" s="8" t="s">
        <v>17</v>
      </c>
      <c r="N60" s="8">
        <v>1.1299999999999999</v>
      </c>
      <c r="O60" s="5" t="s">
        <v>97</v>
      </c>
      <c r="P60" s="6">
        <v>1.1299999999999999</v>
      </c>
    </row>
    <row r="61" spans="1:16" ht="18">
      <c r="A61" s="2">
        <v>9.1</v>
      </c>
      <c r="B61" s="4">
        <v>2</v>
      </c>
      <c r="C61" s="4">
        <v>32</v>
      </c>
      <c r="D61" s="4">
        <v>1</v>
      </c>
      <c r="E61" s="4">
        <v>3.49</v>
      </c>
      <c r="F61" s="4">
        <v>1</v>
      </c>
      <c r="G61" s="4">
        <v>0.85</v>
      </c>
      <c r="H61" s="5" t="s">
        <v>13</v>
      </c>
      <c r="I61" s="6" t="s">
        <v>53</v>
      </c>
      <c r="J61" s="7">
        <v>43847</v>
      </c>
      <c r="K61" s="5">
        <f t="shared" si="7"/>
        <v>55</v>
      </c>
      <c r="L61" s="8">
        <f>K61/(D61)</f>
        <v>55</v>
      </c>
      <c r="M61" s="8">
        <f>C61/(D61)</f>
        <v>32</v>
      </c>
      <c r="N61" s="8">
        <v>1.1299999999999999</v>
      </c>
      <c r="O61" s="5" t="s">
        <v>97</v>
      </c>
      <c r="P61" s="6">
        <v>1.1299999999999999</v>
      </c>
    </row>
    <row r="62" spans="1:16" ht="18">
      <c r="A62" s="2">
        <v>10</v>
      </c>
      <c r="B62" s="4">
        <v>0</v>
      </c>
      <c r="C62" s="4">
        <v>38</v>
      </c>
      <c r="D62" s="4" t="s">
        <v>17</v>
      </c>
      <c r="E62" s="4">
        <v>3.8</v>
      </c>
      <c r="F62" s="4">
        <v>1</v>
      </c>
      <c r="G62" s="4">
        <v>1.0900000000000001</v>
      </c>
      <c r="H62" s="5" t="s">
        <v>13</v>
      </c>
      <c r="I62" s="6" t="s">
        <v>54</v>
      </c>
      <c r="J62" s="7">
        <v>43849</v>
      </c>
      <c r="K62" s="5">
        <f t="shared" si="7"/>
        <v>60</v>
      </c>
      <c r="L62" s="8" t="s">
        <v>17</v>
      </c>
      <c r="M62" s="8" t="s">
        <v>17</v>
      </c>
      <c r="N62" s="8">
        <v>1.1299999999999999</v>
      </c>
      <c r="O62" s="5" t="s">
        <v>97</v>
      </c>
      <c r="P62" s="6">
        <v>1.1299999999999999</v>
      </c>
    </row>
    <row r="63" spans="1:16" ht="18">
      <c r="A63" s="2">
        <v>10</v>
      </c>
      <c r="B63" s="4">
        <v>1</v>
      </c>
      <c r="C63" s="4">
        <v>53</v>
      </c>
      <c r="D63" s="4" t="s">
        <v>17</v>
      </c>
      <c r="E63" s="4">
        <v>5.3</v>
      </c>
      <c r="F63" s="4">
        <v>1</v>
      </c>
      <c r="G63" s="4">
        <v>0.85</v>
      </c>
      <c r="H63" s="5" t="s">
        <v>18</v>
      </c>
      <c r="I63" s="6" t="s">
        <v>55</v>
      </c>
      <c r="J63" s="7">
        <v>43866</v>
      </c>
      <c r="K63" s="5">
        <f t="shared" si="7"/>
        <v>60</v>
      </c>
      <c r="L63" s="8" t="s">
        <v>17</v>
      </c>
      <c r="M63" s="8" t="s">
        <v>17</v>
      </c>
      <c r="N63" s="8">
        <v>0.91</v>
      </c>
      <c r="O63" s="5" t="s">
        <v>101</v>
      </c>
      <c r="P63" s="6">
        <v>1.66</v>
      </c>
    </row>
    <row r="64" spans="1:16" ht="18">
      <c r="A64" s="2">
        <v>10</v>
      </c>
      <c r="B64" s="4">
        <v>0</v>
      </c>
      <c r="C64" s="4">
        <v>64</v>
      </c>
      <c r="D64" s="4" t="s">
        <v>17</v>
      </c>
      <c r="E64" s="4">
        <v>6.4</v>
      </c>
      <c r="F64" s="4">
        <v>2</v>
      </c>
      <c r="G64" s="4">
        <v>1.0900000000000001</v>
      </c>
      <c r="H64" s="5" t="s">
        <v>18</v>
      </c>
      <c r="I64" s="6" t="s">
        <v>56</v>
      </c>
      <c r="J64" s="7">
        <v>43869</v>
      </c>
      <c r="K64" s="5">
        <f t="shared" si="7"/>
        <v>60</v>
      </c>
      <c r="L64" s="8" t="s">
        <v>17</v>
      </c>
      <c r="M64" s="8" t="s">
        <v>17</v>
      </c>
      <c r="N64" s="8">
        <v>0.91</v>
      </c>
      <c r="O64" s="5" t="s">
        <v>101</v>
      </c>
      <c r="P64" s="6">
        <v>1.66</v>
      </c>
    </row>
    <row r="65" spans="1:16" ht="18">
      <c r="A65" s="2">
        <v>10</v>
      </c>
      <c r="B65" s="4">
        <v>0</v>
      </c>
      <c r="C65" s="4">
        <v>50</v>
      </c>
      <c r="D65" s="4" t="s">
        <v>17</v>
      </c>
      <c r="E65" s="4">
        <v>5</v>
      </c>
      <c r="F65" s="4">
        <v>1</v>
      </c>
      <c r="G65" s="4">
        <v>0.85</v>
      </c>
      <c r="H65" s="5" t="s">
        <v>18</v>
      </c>
      <c r="I65" s="6" t="s">
        <v>57</v>
      </c>
      <c r="J65" s="7">
        <v>43872</v>
      </c>
      <c r="K65" s="5">
        <f t="shared" si="7"/>
        <v>60</v>
      </c>
      <c r="L65" s="8" t="s">
        <v>17</v>
      </c>
      <c r="M65" s="8" t="s">
        <v>17</v>
      </c>
      <c r="N65" s="8">
        <v>0.91</v>
      </c>
      <c r="O65" s="5" t="s">
        <v>101</v>
      </c>
      <c r="P65" s="6">
        <v>1.66</v>
      </c>
    </row>
    <row r="66" spans="1:16" ht="18">
      <c r="A66" s="2">
        <v>10</v>
      </c>
      <c r="B66" s="4">
        <v>0</v>
      </c>
      <c r="C66" s="4">
        <v>73</v>
      </c>
      <c r="D66" s="4">
        <v>1</v>
      </c>
      <c r="E66" s="4">
        <v>7.3</v>
      </c>
      <c r="F66" s="4">
        <v>2</v>
      </c>
      <c r="G66" s="4">
        <v>1.0900000000000001</v>
      </c>
      <c r="H66" s="5" t="s">
        <v>13</v>
      </c>
      <c r="I66" s="6" t="s">
        <v>14</v>
      </c>
      <c r="J66" s="7">
        <v>44162</v>
      </c>
      <c r="K66" s="5">
        <f t="shared" ref="K66:K89" si="10">(INT(A66)*6)+(MOD(A66,1)*10)</f>
        <v>60</v>
      </c>
      <c r="L66" s="8">
        <f t="shared" ref="L66:L85" si="11">K66/(D66)</f>
        <v>60</v>
      </c>
      <c r="M66" s="8">
        <f>C66/(D66)</f>
        <v>73</v>
      </c>
      <c r="N66" s="8">
        <v>0.91</v>
      </c>
      <c r="O66" s="5" t="s">
        <v>97</v>
      </c>
      <c r="P66" s="6">
        <v>1.66</v>
      </c>
    </row>
    <row r="67" spans="1:16" ht="18">
      <c r="A67" s="2">
        <v>10</v>
      </c>
      <c r="B67" s="4">
        <v>1</v>
      </c>
      <c r="C67" s="4">
        <v>79</v>
      </c>
      <c r="D67" s="4">
        <v>1</v>
      </c>
      <c r="E67" s="4">
        <v>7.9</v>
      </c>
      <c r="F67" s="4">
        <v>2</v>
      </c>
      <c r="G67" s="4">
        <v>1.0900000000000001</v>
      </c>
      <c r="H67" s="5" t="s">
        <v>13</v>
      </c>
      <c r="I67" s="6" t="s">
        <v>14</v>
      </c>
      <c r="J67" s="7">
        <v>44164</v>
      </c>
      <c r="K67" s="5">
        <f t="shared" si="10"/>
        <v>60</v>
      </c>
      <c r="L67" s="8">
        <f t="shared" si="11"/>
        <v>60</v>
      </c>
      <c r="M67" s="8">
        <f t="shared" ref="M67:M89" si="12">C67/(D67)</f>
        <v>79</v>
      </c>
      <c r="N67" s="8">
        <v>0.91</v>
      </c>
      <c r="O67" s="5" t="s">
        <v>97</v>
      </c>
      <c r="P67" s="6">
        <v>1.66</v>
      </c>
    </row>
    <row r="68" spans="1:16" ht="18">
      <c r="A68" s="2">
        <v>9.3000000000000007</v>
      </c>
      <c r="B68" s="4">
        <v>0</v>
      </c>
      <c r="C68" s="4">
        <v>43</v>
      </c>
      <c r="D68" s="4">
        <v>2</v>
      </c>
      <c r="E68" s="4">
        <v>4.5199999999999996</v>
      </c>
      <c r="F68" s="4">
        <v>1</v>
      </c>
      <c r="G68" s="4">
        <v>0.85</v>
      </c>
      <c r="H68" s="5" t="s">
        <v>13</v>
      </c>
      <c r="I68" s="6" t="s">
        <v>58</v>
      </c>
      <c r="J68" s="7">
        <v>44167</v>
      </c>
      <c r="K68" s="5">
        <f t="shared" si="10"/>
        <v>57.000000000000007</v>
      </c>
      <c r="L68" s="8">
        <f t="shared" si="11"/>
        <v>28.500000000000004</v>
      </c>
      <c r="M68" s="8">
        <f t="shared" si="12"/>
        <v>21.5</v>
      </c>
      <c r="N68" s="8">
        <v>0.91</v>
      </c>
      <c r="O68" s="5" t="s">
        <v>97</v>
      </c>
      <c r="P68" s="6">
        <v>1.66</v>
      </c>
    </row>
    <row r="69" spans="1:16" ht="18">
      <c r="A69" s="2">
        <v>10</v>
      </c>
      <c r="B69" s="4">
        <v>0</v>
      </c>
      <c r="C69" s="4">
        <v>48</v>
      </c>
      <c r="D69" s="4">
        <v>2</v>
      </c>
      <c r="E69" s="4">
        <v>4.8</v>
      </c>
      <c r="F69" s="4">
        <v>1</v>
      </c>
      <c r="G69" s="4">
        <v>1.0900000000000001</v>
      </c>
      <c r="H69" s="5" t="s">
        <v>29</v>
      </c>
      <c r="I69" s="6" t="s">
        <v>59</v>
      </c>
      <c r="J69" s="7">
        <v>44580</v>
      </c>
      <c r="K69" s="5">
        <f t="shared" si="10"/>
        <v>60</v>
      </c>
      <c r="L69" s="8">
        <f t="shared" si="11"/>
        <v>30</v>
      </c>
      <c r="M69" s="8">
        <f t="shared" si="12"/>
        <v>24</v>
      </c>
      <c r="N69" s="8">
        <v>0.91</v>
      </c>
      <c r="O69" s="5" t="s">
        <v>103</v>
      </c>
      <c r="P69" s="6">
        <v>0.99</v>
      </c>
    </row>
    <row r="70" spans="1:16" ht="18">
      <c r="A70" s="2">
        <v>10</v>
      </c>
      <c r="B70" s="4">
        <v>0</v>
      </c>
      <c r="C70" s="4">
        <v>37</v>
      </c>
      <c r="D70" s="4">
        <v>1</v>
      </c>
      <c r="E70" s="4">
        <v>3.7</v>
      </c>
      <c r="F70" s="4">
        <v>1</v>
      </c>
      <c r="G70" s="4">
        <v>0.85</v>
      </c>
      <c r="H70" s="5" t="s">
        <v>29</v>
      </c>
      <c r="I70" s="6" t="s">
        <v>59</v>
      </c>
      <c r="J70" s="7">
        <v>44582</v>
      </c>
      <c r="K70" s="5">
        <f t="shared" si="10"/>
        <v>60</v>
      </c>
      <c r="L70" s="8">
        <f t="shared" si="11"/>
        <v>60</v>
      </c>
      <c r="M70" s="8">
        <f t="shared" si="12"/>
        <v>37</v>
      </c>
      <c r="N70" s="8">
        <v>0.91</v>
      </c>
      <c r="O70" s="5" t="s">
        <v>103</v>
      </c>
      <c r="P70" s="6">
        <v>0.99</v>
      </c>
    </row>
    <row r="71" spans="1:16" ht="18">
      <c r="A71" s="2">
        <v>10</v>
      </c>
      <c r="B71" s="4">
        <v>0</v>
      </c>
      <c r="C71" s="4">
        <v>52</v>
      </c>
      <c r="D71" s="4">
        <v>2</v>
      </c>
      <c r="E71" s="4">
        <v>5.2</v>
      </c>
      <c r="F71" s="4">
        <v>2</v>
      </c>
      <c r="G71" s="4">
        <v>1.0900000000000001</v>
      </c>
      <c r="H71" s="5" t="s">
        <v>29</v>
      </c>
      <c r="I71" s="6" t="s">
        <v>41</v>
      </c>
      <c r="J71" s="7">
        <v>44584</v>
      </c>
      <c r="K71" s="5">
        <f t="shared" si="10"/>
        <v>60</v>
      </c>
      <c r="L71" s="8">
        <f t="shared" si="11"/>
        <v>30</v>
      </c>
      <c r="M71" s="8">
        <f t="shared" si="12"/>
        <v>26</v>
      </c>
      <c r="N71" s="8">
        <v>0.91</v>
      </c>
      <c r="O71" s="5" t="s">
        <v>103</v>
      </c>
      <c r="P71" s="6">
        <v>0.99</v>
      </c>
    </row>
    <row r="72" spans="1:16" ht="18">
      <c r="A72" s="2">
        <v>7.2</v>
      </c>
      <c r="B72" s="4">
        <v>3</v>
      </c>
      <c r="C72" s="4">
        <v>19</v>
      </c>
      <c r="D72" s="4">
        <v>6</v>
      </c>
      <c r="E72" s="4">
        <v>2.59</v>
      </c>
      <c r="F72" s="4">
        <v>2</v>
      </c>
      <c r="G72" s="4">
        <v>1.0900000000000001</v>
      </c>
      <c r="H72" s="5" t="s">
        <v>22</v>
      </c>
      <c r="I72" s="6" t="s">
        <v>68</v>
      </c>
      <c r="J72" s="7">
        <v>44754</v>
      </c>
      <c r="K72" s="5">
        <f t="shared" si="10"/>
        <v>44</v>
      </c>
      <c r="L72" s="8">
        <f t="shared" si="11"/>
        <v>7.333333333333333</v>
      </c>
      <c r="M72" s="8">
        <f t="shared" si="12"/>
        <v>3.1666666666666665</v>
      </c>
      <c r="N72" s="8">
        <v>0.91</v>
      </c>
      <c r="O72" s="5" t="s">
        <v>99</v>
      </c>
      <c r="P72" s="6">
        <v>0.92</v>
      </c>
    </row>
    <row r="73" spans="1:16" ht="18">
      <c r="A73" s="2">
        <v>10</v>
      </c>
      <c r="B73" s="4">
        <v>1</v>
      </c>
      <c r="C73" s="4">
        <v>49</v>
      </c>
      <c r="D73" s="4">
        <v>2</v>
      </c>
      <c r="E73" s="4">
        <v>4.9000000000000004</v>
      </c>
      <c r="F73" s="4">
        <v>2</v>
      </c>
      <c r="G73" s="4">
        <v>1.0900000000000001</v>
      </c>
      <c r="H73" s="5" t="s">
        <v>22</v>
      </c>
      <c r="I73" s="6" t="s">
        <v>60</v>
      </c>
      <c r="J73" s="7">
        <v>44756</v>
      </c>
      <c r="K73" s="5">
        <f t="shared" si="10"/>
        <v>60</v>
      </c>
      <c r="L73" s="8">
        <f t="shared" si="11"/>
        <v>30</v>
      </c>
      <c r="M73" s="8">
        <f t="shared" si="12"/>
        <v>24.5</v>
      </c>
      <c r="N73" s="8">
        <v>0.91</v>
      </c>
      <c r="O73" s="5" t="s">
        <v>99</v>
      </c>
      <c r="P73" s="6">
        <v>0.92</v>
      </c>
    </row>
    <row r="74" spans="1:16" ht="18">
      <c r="A74" s="2">
        <v>5</v>
      </c>
      <c r="B74" s="4">
        <v>1</v>
      </c>
      <c r="C74" s="4">
        <v>18</v>
      </c>
      <c r="D74" s="4">
        <v>1</v>
      </c>
      <c r="E74" s="4">
        <v>3.6</v>
      </c>
      <c r="F74" s="4">
        <v>1</v>
      </c>
      <c r="G74" s="4">
        <v>0.85</v>
      </c>
      <c r="H74" s="5" t="s">
        <v>26</v>
      </c>
      <c r="I74" s="6" t="s">
        <v>33</v>
      </c>
      <c r="J74" s="7">
        <v>45179</v>
      </c>
      <c r="K74" s="5">
        <f t="shared" si="10"/>
        <v>30</v>
      </c>
      <c r="L74" s="8">
        <f t="shared" si="11"/>
        <v>30</v>
      </c>
      <c r="M74" s="8">
        <f t="shared" si="12"/>
        <v>18</v>
      </c>
      <c r="N74" s="8">
        <v>0.91</v>
      </c>
      <c r="O74" s="5" t="s">
        <v>102</v>
      </c>
      <c r="P74" s="6">
        <v>0.54</v>
      </c>
    </row>
    <row r="75" spans="1:16" ht="18">
      <c r="A75" s="2">
        <v>7</v>
      </c>
      <c r="B75" s="4">
        <v>1</v>
      </c>
      <c r="C75" s="4">
        <v>30</v>
      </c>
      <c r="D75" s="4">
        <v>2</v>
      </c>
      <c r="E75" s="4">
        <v>4.28</v>
      </c>
      <c r="F75" s="4">
        <v>1</v>
      </c>
      <c r="G75" s="4">
        <v>0.85</v>
      </c>
      <c r="H75" s="5" t="s">
        <v>28</v>
      </c>
      <c r="I75" s="6" t="s">
        <v>33</v>
      </c>
      <c r="J75" s="7">
        <v>45181</v>
      </c>
      <c r="K75" s="5">
        <f t="shared" si="10"/>
        <v>42</v>
      </c>
      <c r="L75" s="8">
        <f t="shared" si="11"/>
        <v>21</v>
      </c>
      <c r="M75" s="8">
        <f t="shared" si="12"/>
        <v>15</v>
      </c>
      <c r="N75" s="8">
        <v>0.91</v>
      </c>
      <c r="O75" s="5" t="s">
        <v>104</v>
      </c>
      <c r="P75" s="6">
        <v>0.54</v>
      </c>
    </row>
    <row r="76" spans="1:16" ht="18">
      <c r="A76" s="2">
        <v>5</v>
      </c>
      <c r="B76" s="4">
        <v>1</v>
      </c>
      <c r="C76" s="4">
        <v>23</v>
      </c>
      <c r="D76" s="4">
        <v>1</v>
      </c>
      <c r="E76" s="4">
        <v>4.5999999999999996</v>
      </c>
      <c r="F76" s="4">
        <v>1</v>
      </c>
      <c r="G76" s="4">
        <v>1.0900000000000001</v>
      </c>
      <c r="H76" s="5" t="s">
        <v>28</v>
      </c>
      <c r="I76" s="6" t="s">
        <v>33</v>
      </c>
      <c r="J76" s="7">
        <v>45186</v>
      </c>
      <c r="K76" s="5">
        <f t="shared" si="10"/>
        <v>30</v>
      </c>
      <c r="L76" s="8">
        <f t="shared" si="11"/>
        <v>30</v>
      </c>
      <c r="M76" s="8">
        <f t="shared" si="12"/>
        <v>23</v>
      </c>
      <c r="N76" s="8">
        <v>0.91</v>
      </c>
      <c r="O76" s="5" t="s">
        <v>104</v>
      </c>
      <c r="P76" s="6">
        <v>0.54</v>
      </c>
    </row>
    <row r="77" spans="1:16" ht="18">
      <c r="A77" s="2">
        <v>10</v>
      </c>
      <c r="B77" s="4">
        <v>2</v>
      </c>
      <c r="C77" s="4">
        <v>43</v>
      </c>
      <c r="D77" s="4">
        <v>1</v>
      </c>
      <c r="E77" s="4">
        <v>4.3</v>
      </c>
      <c r="F77" s="4">
        <v>2</v>
      </c>
      <c r="G77" s="4">
        <v>1.0900000000000001</v>
      </c>
      <c r="H77" s="5" t="s">
        <v>13</v>
      </c>
      <c r="I77" s="6" t="s">
        <v>21</v>
      </c>
      <c r="J77" s="7">
        <v>45191</v>
      </c>
      <c r="K77" s="5">
        <f t="shared" si="10"/>
        <v>60</v>
      </c>
      <c r="L77" s="8">
        <f t="shared" si="11"/>
        <v>60</v>
      </c>
      <c r="M77" s="8">
        <f t="shared" si="12"/>
        <v>43</v>
      </c>
      <c r="N77" s="8">
        <v>1.1299999999999999</v>
      </c>
      <c r="O77" s="5" t="s">
        <v>97</v>
      </c>
      <c r="P77" s="6">
        <v>1.1299999999999999</v>
      </c>
    </row>
    <row r="78" spans="1:16" ht="18">
      <c r="A78" s="2">
        <v>10</v>
      </c>
      <c r="B78" s="4">
        <v>0</v>
      </c>
      <c r="C78" s="4">
        <v>81</v>
      </c>
      <c r="D78" s="4">
        <v>3</v>
      </c>
      <c r="E78" s="4">
        <v>8.1</v>
      </c>
      <c r="F78" s="4">
        <v>1</v>
      </c>
      <c r="G78" s="4">
        <v>1.0900000000000001</v>
      </c>
      <c r="H78" s="5" t="s">
        <v>13</v>
      </c>
      <c r="I78" s="6" t="s">
        <v>53</v>
      </c>
      <c r="J78" s="7">
        <v>45196</v>
      </c>
      <c r="K78" s="5">
        <f t="shared" si="10"/>
        <v>60</v>
      </c>
      <c r="L78" s="8">
        <f t="shared" si="11"/>
        <v>20</v>
      </c>
      <c r="M78" s="8">
        <f t="shared" si="12"/>
        <v>27</v>
      </c>
      <c r="N78" s="8">
        <v>1.1299999999999999</v>
      </c>
      <c r="O78" s="5" t="s">
        <v>97</v>
      </c>
      <c r="P78" s="6">
        <v>1.1299999999999999</v>
      </c>
    </row>
    <row r="79" spans="1:16" ht="18">
      <c r="A79" s="2">
        <v>10</v>
      </c>
      <c r="B79" s="4">
        <v>0</v>
      </c>
      <c r="C79" s="4">
        <v>35</v>
      </c>
      <c r="D79" s="4">
        <v>2</v>
      </c>
      <c r="E79" s="4">
        <v>3.5</v>
      </c>
      <c r="F79" s="4">
        <v>1</v>
      </c>
      <c r="G79" s="4">
        <v>1.0900000000000001</v>
      </c>
      <c r="H79" s="5" t="s">
        <v>13</v>
      </c>
      <c r="I79" s="6" t="s">
        <v>34</v>
      </c>
      <c r="J79" s="7">
        <v>45207</v>
      </c>
      <c r="K79" s="5">
        <f t="shared" si="10"/>
        <v>60</v>
      </c>
      <c r="L79" s="8">
        <f t="shared" si="11"/>
        <v>30</v>
      </c>
      <c r="M79" s="8">
        <f t="shared" si="12"/>
        <v>17.5</v>
      </c>
      <c r="N79" s="8">
        <v>1.1299999999999999</v>
      </c>
      <c r="O79" s="5" t="s">
        <v>97</v>
      </c>
      <c r="P79" s="6">
        <v>1.1299999999999999</v>
      </c>
    </row>
    <row r="80" spans="1:16" ht="18">
      <c r="A80" s="2">
        <v>10</v>
      </c>
      <c r="B80" s="4">
        <v>0</v>
      </c>
      <c r="C80" s="4">
        <v>39</v>
      </c>
      <c r="D80" s="4">
        <v>4</v>
      </c>
      <c r="E80" s="4">
        <v>3.9</v>
      </c>
      <c r="F80" s="4">
        <v>1</v>
      </c>
      <c r="G80" s="4">
        <v>1.0900000000000001</v>
      </c>
      <c r="H80" s="5" t="s">
        <v>51</v>
      </c>
      <c r="I80" s="6" t="s">
        <v>20</v>
      </c>
      <c r="J80" s="7">
        <v>45210</v>
      </c>
      <c r="K80" s="5">
        <f t="shared" si="10"/>
        <v>60</v>
      </c>
      <c r="L80" s="8">
        <f t="shared" si="11"/>
        <v>15</v>
      </c>
      <c r="M80" s="8">
        <f t="shared" si="12"/>
        <v>9.75</v>
      </c>
      <c r="N80" s="8">
        <v>1.1299999999999999</v>
      </c>
      <c r="O80" s="5" t="s">
        <v>96</v>
      </c>
      <c r="P80" s="6">
        <v>1.1299999999999999</v>
      </c>
    </row>
    <row r="81" spans="1:16" ht="18">
      <c r="A81" s="2">
        <v>7</v>
      </c>
      <c r="B81" s="4">
        <v>1</v>
      </c>
      <c r="C81" s="4">
        <v>19</v>
      </c>
      <c r="D81" s="4">
        <v>2</v>
      </c>
      <c r="E81" s="4">
        <v>2.71</v>
      </c>
      <c r="F81" s="4">
        <v>1</v>
      </c>
      <c r="G81" s="4">
        <v>1.0900000000000001</v>
      </c>
      <c r="H81" s="5" t="s">
        <v>26</v>
      </c>
      <c r="I81" s="6" t="s">
        <v>61</v>
      </c>
      <c r="J81" s="7">
        <v>45213</v>
      </c>
      <c r="K81" s="5">
        <f t="shared" si="10"/>
        <v>42</v>
      </c>
      <c r="L81" s="8">
        <f t="shared" si="11"/>
        <v>21</v>
      </c>
      <c r="M81" s="8">
        <f t="shared" si="12"/>
        <v>9.5</v>
      </c>
      <c r="N81" s="8">
        <v>1.1299999999999999</v>
      </c>
      <c r="O81" s="5" t="s">
        <v>102</v>
      </c>
      <c r="P81" s="6">
        <v>1.1299999999999999</v>
      </c>
    </row>
    <row r="82" spans="1:16" ht="18">
      <c r="A82" s="2">
        <v>10</v>
      </c>
      <c r="B82" s="4">
        <v>1</v>
      </c>
      <c r="C82" s="4">
        <v>41</v>
      </c>
      <c r="D82" s="4">
        <v>2</v>
      </c>
      <c r="E82" s="4">
        <v>4.0999999999999996</v>
      </c>
      <c r="F82" s="4">
        <v>1</v>
      </c>
      <c r="G82" s="4">
        <v>1.0900000000000001</v>
      </c>
      <c r="H82" s="5" t="s">
        <v>30</v>
      </c>
      <c r="I82" s="6" t="s">
        <v>23</v>
      </c>
      <c r="J82" s="7">
        <v>45218</v>
      </c>
      <c r="K82" s="5">
        <f t="shared" si="10"/>
        <v>60</v>
      </c>
      <c r="L82" s="8">
        <f t="shared" si="11"/>
        <v>30</v>
      </c>
      <c r="M82" s="8">
        <f t="shared" si="12"/>
        <v>20.5</v>
      </c>
      <c r="N82" s="8">
        <v>1.1299999999999999</v>
      </c>
      <c r="O82" s="5" t="s">
        <v>98</v>
      </c>
      <c r="P82" s="6">
        <v>1.1299999999999999</v>
      </c>
    </row>
    <row r="83" spans="1:16" ht="18">
      <c r="A83" s="2">
        <v>10</v>
      </c>
      <c r="B83" s="4">
        <v>1</v>
      </c>
      <c r="C83" s="4">
        <v>45</v>
      </c>
      <c r="D83" s="4">
        <v>1</v>
      </c>
      <c r="E83" s="4">
        <v>4.5</v>
      </c>
      <c r="F83" s="4">
        <v>1</v>
      </c>
      <c r="G83" s="4">
        <v>1.0900000000000001</v>
      </c>
      <c r="H83" s="5" t="s">
        <v>18</v>
      </c>
      <c r="I83" s="6" t="s">
        <v>19</v>
      </c>
      <c r="J83" s="7">
        <v>45221</v>
      </c>
      <c r="K83" s="5">
        <f t="shared" si="10"/>
        <v>60</v>
      </c>
      <c r="L83" s="8">
        <f t="shared" si="11"/>
        <v>60</v>
      </c>
      <c r="M83" s="8">
        <f t="shared" si="12"/>
        <v>45</v>
      </c>
      <c r="N83" s="8">
        <v>1.1299999999999999</v>
      </c>
      <c r="O83" s="5" t="s">
        <v>101</v>
      </c>
      <c r="P83" s="6">
        <v>1.1299999999999999</v>
      </c>
    </row>
    <row r="84" spans="1:16" ht="18">
      <c r="A84" s="2">
        <v>6.5</v>
      </c>
      <c r="B84" s="4">
        <v>1</v>
      </c>
      <c r="C84" s="4">
        <v>32</v>
      </c>
      <c r="D84" s="4">
        <v>3</v>
      </c>
      <c r="E84" s="4">
        <v>4.68</v>
      </c>
      <c r="F84" s="4">
        <v>1</v>
      </c>
      <c r="G84" s="4">
        <v>0.85</v>
      </c>
      <c r="H84" s="5" t="s">
        <v>22</v>
      </c>
      <c r="I84" s="6" t="s">
        <v>62</v>
      </c>
      <c r="J84" s="7">
        <v>45228</v>
      </c>
      <c r="K84" s="5">
        <f t="shared" si="10"/>
        <v>41</v>
      </c>
      <c r="L84" s="8">
        <f t="shared" si="11"/>
        <v>13.666666666666666</v>
      </c>
      <c r="M84" s="8">
        <f t="shared" si="12"/>
        <v>10.666666666666666</v>
      </c>
      <c r="N84" s="8">
        <v>1.1299999999999999</v>
      </c>
      <c r="O84" s="5" t="s">
        <v>99</v>
      </c>
      <c r="P84" s="6">
        <v>1.1299999999999999</v>
      </c>
    </row>
    <row r="85" spans="1:16" ht="18">
      <c r="A85" s="2">
        <v>5</v>
      </c>
      <c r="B85" s="4">
        <v>1</v>
      </c>
      <c r="C85" s="4">
        <v>8</v>
      </c>
      <c r="D85" s="4">
        <v>1</v>
      </c>
      <c r="E85" s="4">
        <v>1.6</v>
      </c>
      <c r="F85" s="4">
        <v>1</v>
      </c>
      <c r="G85" s="4">
        <v>0.85</v>
      </c>
      <c r="H85" s="5" t="s">
        <v>28</v>
      </c>
      <c r="I85" s="6" t="s">
        <v>37</v>
      </c>
      <c r="J85" s="7">
        <v>45232</v>
      </c>
      <c r="K85" s="5">
        <f t="shared" si="10"/>
        <v>30</v>
      </c>
      <c r="L85" s="8">
        <f t="shared" si="11"/>
        <v>30</v>
      </c>
      <c r="M85" s="8">
        <f t="shared" si="12"/>
        <v>8</v>
      </c>
      <c r="N85" s="8">
        <v>1.1299999999999999</v>
      </c>
      <c r="O85" s="5" t="s">
        <v>104</v>
      </c>
      <c r="P85" s="6">
        <v>1.1299999999999999</v>
      </c>
    </row>
    <row r="86" spans="1:16" ht="18">
      <c r="A86" s="2">
        <v>5</v>
      </c>
      <c r="B86" s="4">
        <v>0</v>
      </c>
      <c r="C86" s="4">
        <v>14</v>
      </c>
      <c r="D86" s="4" t="s">
        <v>17</v>
      </c>
      <c r="E86" s="4">
        <v>2.8</v>
      </c>
      <c r="F86" s="4">
        <v>1</v>
      </c>
      <c r="G86" s="4">
        <v>0.85</v>
      </c>
      <c r="H86" s="5" t="s">
        <v>29</v>
      </c>
      <c r="I86" s="6" t="s">
        <v>25</v>
      </c>
      <c r="J86" s="7">
        <v>45235</v>
      </c>
      <c r="K86" s="5">
        <f t="shared" si="10"/>
        <v>30</v>
      </c>
      <c r="L86" s="8" t="s">
        <v>17</v>
      </c>
      <c r="M86" s="8" t="s">
        <v>17</v>
      </c>
      <c r="N86" s="8">
        <v>1.1299999999999999</v>
      </c>
      <c r="O86" s="5" t="s">
        <v>103</v>
      </c>
      <c r="P86" s="6">
        <v>1.1299999999999999</v>
      </c>
    </row>
    <row r="87" spans="1:16" ht="18">
      <c r="A87" s="2">
        <v>9</v>
      </c>
      <c r="B87" s="4">
        <v>1</v>
      </c>
      <c r="C87" s="4">
        <v>33</v>
      </c>
      <c r="D87" s="4">
        <v>2</v>
      </c>
      <c r="E87" s="4">
        <v>3.66</v>
      </c>
      <c r="F87" s="4">
        <v>1</v>
      </c>
      <c r="G87" s="4">
        <v>0.85</v>
      </c>
      <c r="H87" s="5" t="s">
        <v>63</v>
      </c>
      <c r="I87" s="6" t="s">
        <v>54</v>
      </c>
      <c r="J87" s="7">
        <v>45242</v>
      </c>
      <c r="K87" s="5">
        <f t="shared" si="10"/>
        <v>54</v>
      </c>
      <c r="L87" s="8">
        <f>K87/(D87)</f>
        <v>27</v>
      </c>
      <c r="M87" s="8">
        <f t="shared" si="12"/>
        <v>16.5</v>
      </c>
      <c r="N87" s="8">
        <v>1.1299999999999999</v>
      </c>
      <c r="O87" s="5" t="s">
        <v>100</v>
      </c>
      <c r="P87" s="6">
        <v>1.1299999999999999</v>
      </c>
    </row>
    <row r="88" spans="1:16" ht="18">
      <c r="A88" s="2">
        <v>10</v>
      </c>
      <c r="B88" s="4">
        <v>1</v>
      </c>
      <c r="C88" s="4">
        <v>64</v>
      </c>
      <c r="D88" s="4">
        <v>1</v>
      </c>
      <c r="E88" s="4">
        <v>6.4</v>
      </c>
      <c r="F88" s="4">
        <v>1</v>
      </c>
      <c r="G88" s="4">
        <v>0.85</v>
      </c>
      <c r="H88" s="5" t="s">
        <v>18</v>
      </c>
      <c r="I88" s="6" t="s">
        <v>37</v>
      </c>
      <c r="J88" s="7">
        <v>45245</v>
      </c>
      <c r="K88" s="5">
        <f t="shared" si="10"/>
        <v>60</v>
      </c>
      <c r="L88" s="8">
        <f>K88/(D88)</f>
        <v>60</v>
      </c>
      <c r="M88" s="8">
        <f t="shared" si="12"/>
        <v>64</v>
      </c>
      <c r="N88" s="8">
        <v>1.1299999999999999</v>
      </c>
      <c r="O88" s="5" t="s">
        <v>101</v>
      </c>
      <c r="P88" s="6">
        <v>1.1299999999999999</v>
      </c>
    </row>
    <row r="89" spans="1:16" ht="18">
      <c r="A89" s="2">
        <v>9</v>
      </c>
      <c r="B89" s="4">
        <v>2</v>
      </c>
      <c r="C89" s="4">
        <v>43</v>
      </c>
      <c r="D89" s="4">
        <v>2</v>
      </c>
      <c r="E89" s="4">
        <v>4.7699999999999996</v>
      </c>
      <c r="F89" s="4">
        <v>1</v>
      </c>
      <c r="G89" s="4">
        <v>0.85</v>
      </c>
      <c r="H89" s="5" t="s">
        <v>13</v>
      </c>
      <c r="I89" s="6" t="s">
        <v>61</v>
      </c>
      <c r="J89" s="7">
        <v>45249</v>
      </c>
      <c r="K89" s="5">
        <f t="shared" si="10"/>
        <v>54</v>
      </c>
      <c r="L89" s="8">
        <f>K89/(D89)</f>
        <v>27</v>
      </c>
      <c r="M89" s="8">
        <f t="shared" si="12"/>
        <v>21.5</v>
      </c>
      <c r="N89" s="8">
        <v>1.1299999999999999</v>
      </c>
      <c r="O89" s="5" t="s">
        <v>97</v>
      </c>
      <c r="P89" s="6">
        <v>1.1299999999999999</v>
      </c>
    </row>
    <row r="90" spans="1:16" ht="18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 t="e" cm="1">
        <f t="array" aca="1" ref="L90" ca="1">AERAGE(L2:L89)</f>
        <v>#NAME?</v>
      </c>
      <c r="M90" s="8" t="e" cm="1">
        <f t="array" aca="1" ref="M90" ca="1">AERAGE(M2:M89)</f>
        <v>#NAME?</v>
      </c>
    </row>
  </sheetData>
  <hyperlinks>
    <hyperlink ref="A1" r:id="rId1" tooltip="sort by overs bowled" display="Overs" xr:uid="{00000000-0004-0000-0000-000000000000}"/>
    <hyperlink ref="B1" r:id="rId2" tooltip="sort by maidens earned" xr:uid="{00000000-0004-0000-0000-000001000000}"/>
    <hyperlink ref="C1" r:id="rId3" tooltip="sort by runs conceded" xr:uid="{00000000-0004-0000-0000-000002000000}"/>
    <hyperlink ref="D1" r:id="rId4" tooltip="sort by wickets taken" xr:uid="{00000000-0004-0000-0000-000003000000}"/>
    <hyperlink ref="E1" r:id="rId5" tooltip="sort by economy rate" xr:uid="{00000000-0004-0000-0000-000004000000}"/>
    <hyperlink ref="F1" r:id="rId6" tooltip="sort by bowling order position" xr:uid="{00000000-0004-0000-0000-000005000000}"/>
    <hyperlink ref="J1" r:id="rId7" tooltip="sort by start date" xr:uid="{00000000-0004-0000-0000-000006000000}"/>
    <hyperlink ref="I2" r:id="rId8" xr:uid="{00000000-0004-0000-0000-000008000000}"/>
    <hyperlink ref="I3" r:id="rId9" xr:uid="{00000000-0004-0000-0000-00000A000000}"/>
    <hyperlink ref="I4" r:id="rId10" xr:uid="{00000000-0004-0000-0000-00000C000000}"/>
    <hyperlink ref="I5" r:id="rId11" xr:uid="{00000000-0004-0000-0000-00000E000000}"/>
    <hyperlink ref="I6" r:id="rId12" xr:uid="{00000000-0004-0000-0000-000010000000}"/>
    <hyperlink ref="I7" r:id="rId13" xr:uid="{00000000-0004-0000-0000-000012000000}"/>
    <hyperlink ref="I8" r:id="rId14" xr:uid="{00000000-0004-0000-0000-000014000000}"/>
    <hyperlink ref="I9" r:id="rId15" display="Visakhapatnam" xr:uid="{00000000-0004-0000-0000-000016000000}"/>
    <hyperlink ref="I10" r:id="rId16" xr:uid="{00000000-0004-0000-0000-000018000000}"/>
    <hyperlink ref="I11" r:id="rId17" xr:uid="{00000000-0004-0000-0000-00001A000000}"/>
    <hyperlink ref="I12" r:id="rId18" xr:uid="{00000000-0004-0000-0000-00001C000000}"/>
    <hyperlink ref="I13" r:id="rId19" xr:uid="{00000000-0004-0000-0000-00001E000000}"/>
    <hyperlink ref="I14" r:id="rId20" display="The Oval" xr:uid="{00000000-0004-0000-0000-000020000000}"/>
    <hyperlink ref="I15" r:id="rId21" display="The Oval" xr:uid="{00000000-0004-0000-0000-000022000000}"/>
    <hyperlink ref="I16" r:id="rId22" xr:uid="{00000000-0004-0000-0000-000024000000}"/>
    <hyperlink ref="I17" r:id="rId23" display="The Oval" xr:uid="{00000000-0004-0000-0000-000026000000}"/>
    <hyperlink ref="I18" r:id="rId24" xr:uid="{00000000-0004-0000-0000-000028000000}"/>
    <hyperlink ref="I19" r:id="rId25" xr:uid="{00000000-0004-0000-0000-00002A000000}"/>
    <hyperlink ref="I20" r:id="rId26" xr:uid="{00000000-0004-0000-0000-00002C000000}"/>
    <hyperlink ref="I21" r:id="rId27" xr:uid="{00000000-0004-0000-0000-00002E000000}"/>
    <hyperlink ref="I22" r:id="rId28" xr:uid="{00000000-0004-0000-0000-000030000000}"/>
    <hyperlink ref="I23" r:id="rId29" xr:uid="{00000000-0004-0000-0000-000032000000}"/>
    <hyperlink ref="I24" r:id="rId30" xr:uid="{00000000-0004-0000-0000-000034000000}"/>
    <hyperlink ref="I25" r:id="rId31" xr:uid="{00000000-0004-0000-0000-000036000000}"/>
    <hyperlink ref="I26" r:id="rId32" xr:uid="{00000000-0004-0000-0000-000038000000}"/>
    <hyperlink ref="I27" r:id="rId33" xr:uid="{00000000-0004-0000-0000-00003A000000}"/>
    <hyperlink ref="I28" r:id="rId34" xr:uid="{00000000-0004-0000-0000-00003C000000}"/>
    <hyperlink ref="I29" r:id="rId35" xr:uid="{00000000-0004-0000-0000-00003E000000}"/>
    <hyperlink ref="I30" r:id="rId36" xr:uid="{00000000-0004-0000-0000-000040000000}"/>
    <hyperlink ref="I31" r:id="rId37" xr:uid="{00000000-0004-0000-0000-000042000000}"/>
    <hyperlink ref="I32" r:id="rId38" display="Visakhapatnam" xr:uid="{00000000-0004-0000-0000-000044000000}"/>
    <hyperlink ref="I33" r:id="rId39" xr:uid="{00000000-0004-0000-0000-000046000000}"/>
    <hyperlink ref="I34" r:id="rId40" xr:uid="{00000000-0004-0000-0000-000048000000}"/>
    <hyperlink ref="I35" r:id="rId41" xr:uid="{00000000-0004-0000-0000-00004A000000}"/>
    <hyperlink ref="I36" r:id="rId42" xr:uid="{00000000-0004-0000-0000-00004C000000}"/>
    <hyperlink ref="I37" r:id="rId43" xr:uid="{00000000-0004-0000-0000-00004E000000}"/>
    <hyperlink ref="I38" r:id="rId44" xr:uid="{00000000-0004-0000-0000-000050000000}"/>
    <hyperlink ref="I39" r:id="rId45" xr:uid="{00000000-0004-0000-0000-000052000000}"/>
    <hyperlink ref="I40" r:id="rId46" xr:uid="{00000000-0004-0000-0000-000054000000}"/>
    <hyperlink ref="I41" r:id="rId47" xr:uid="{00000000-0004-0000-0000-000056000000}"/>
    <hyperlink ref="I42" r:id="rId48" xr:uid="{00000000-0004-0000-0000-000058000000}"/>
    <hyperlink ref="I43" r:id="rId49" xr:uid="{00000000-0004-0000-0000-00005A000000}"/>
    <hyperlink ref="I44" r:id="rId50" xr:uid="{00000000-0004-0000-0000-00005C000000}"/>
    <hyperlink ref="I45" r:id="rId51" display="Thiruvananthapuram" xr:uid="{00000000-0004-0000-0000-00005E000000}"/>
    <hyperlink ref="I46" r:id="rId52" xr:uid="{00000000-0004-0000-0000-000060000000}"/>
    <hyperlink ref="I47" r:id="rId53" xr:uid="{00000000-0004-0000-0000-000062000000}"/>
    <hyperlink ref="I48" r:id="rId54" xr:uid="{00000000-0004-0000-0000-000064000000}"/>
    <hyperlink ref="I49" r:id="rId55" xr:uid="{00000000-0004-0000-0000-000066000000}"/>
    <hyperlink ref="I50" r:id="rId56" xr:uid="{00000000-0004-0000-0000-000068000000}"/>
    <hyperlink ref="I51" r:id="rId57" xr:uid="{00000000-0004-0000-0000-00006A000000}"/>
    <hyperlink ref="I52" r:id="rId58" display="The Oval" xr:uid="{00000000-0004-0000-0000-00006C000000}"/>
    <hyperlink ref="I53" r:id="rId59" xr:uid="{00000000-0004-0000-0000-00006E000000}"/>
    <hyperlink ref="I54" r:id="rId60" xr:uid="{00000000-0004-0000-0000-000070000000}"/>
    <hyperlink ref="I55" r:id="rId61" xr:uid="{00000000-0004-0000-0000-000072000000}"/>
    <hyperlink ref="I56" r:id="rId62" xr:uid="{00000000-0004-0000-0000-000074000000}"/>
    <hyperlink ref="I57" r:id="rId63" xr:uid="{00000000-0004-0000-0000-000076000000}"/>
    <hyperlink ref="I58" r:id="rId64" xr:uid="{00000000-0004-0000-0000-000078000000}"/>
    <hyperlink ref="I59" r:id="rId65" xr:uid="{00000000-0004-0000-0000-00007A000000}"/>
    <hyperlink ref="I60" r:id="rId66" xr:uid="{00000000-0004-0000-0000-00007C000000}"/>
    <hyperlink ref="I61" r:id="rId67" xr:uid="{00000000-0004-0000-0000-00007E000000}"/>
    <hyperlink ref="I62" r:id="rId68" xr:uid="{00000000-0004-0000-0000-000080000000}"/>
    <hyperlink ref="I63" r:id="rId69" xr:uid="{00000000-0004-0000-0000-000082000000}"/>
    <hyperlink ref="I64" r:id="rId70" xr:uid="{00000000-0004-0000-0000-000084000000}"/>
    <hyperlink ref="I65" r:id="rId71" xr:uid="{00000000-0004-0000-0000-000086000000}"/>
    <hyperlink ref="I66" r:id="rId72" xr:uid="{00000000-0004-0000-0000-000088000000}"/>
    <hyperlink ref="I67" r:id="rId73" xr:uid="{00000000-0004-0000-0000-00008A000000}"/>
    <hyperlink ref="I68" r:id="rId74" xr:uid="{00000000-0004-0000-0000-00008C000000}"/>
    <hyperlink ref="I69" r:id="rId75" xr:uid="{00000000-0004-0000-0000-00008E000000}"/>
    <hyperlink ref="I70" r:id="rId76" xr:uid="{00000000-0004-0000-0000-000090000000}"/>
    <hyperlink ref="I71" r:id="rId77" xr:uid="{00000000-0004-0000-0000-000092000000}"/>
    <hyperlink ref="I72" r:id="rId78" display="The Oval" xr:uid="{00000000-0004-0000-0000-000094000000}"/>
    <hyperlink ref="I73" r:id="rId79" xr:uid="{00000000-0004-0000-0000-000096000000}"/>
    <hyperlink ref="I74" r:id="rId80" xr:uid="{00000000-0004-0000-0000-000098000000}"/>
    <hyperlink ref="I75" r:id="rId81" xr:uid="{00000000-0004-0000-0000-00009A000000}"/>
    <hyperlink ref="I76" r:id="rId82" xr:uid="{00000000-0004-0000-0000-00009C000000}"/>
    <hyperlink ref="I77" r:id="rId83" xr:uid="{00000000-0004-0000-0000-00009E000000}"/>
    <hyperlink ref="I78" r:id="rId84" xr:uid="{00000000-0004-0000-0000-0000A0000000}"/>
    <hyperlink ref="I79" r:id="rId85" xr:uid="{00000000-0004-0000-0000-0000A2000000}"/>
    <hyperlink ref="I80" r:id="rId86" xr:uid="{00000000-0004-0000-0000-0000A4000000}"/>
    <hyperlink ref="I81" r:id="rId87" xr:uid="{00000000-0004-0000-0000-0000A6000000}"/>
    <hyperlink ref="I82" r:id="rId88" xr:uid="{00000000-0004-0000-0000-0000A8000000}"/>
    <hyperlink ref="I83" r:id="rId89" xr:uid="{00000000-0004-0000-0000-0000AA000000}"/>
    <hyperlink ref="I84" r:id="rId90" xr:uid="{00000000-0004-0000-0000-0000AC000000}"/>
    <hyperlink ref="I85" r:id="rId91" xr:uid="{00000000-0004-0000-0000-0000AE000000}"/>
    <hyperlink ref="I86" r:id="rId92" xr:uid="{00000000-0004-0000-0000-0000B0000000}"/>
    <hyperlink ref="I87" r:id="rId93" xr:uid="{00000000-0004-0000-0000-0000B2000000}"/>
    <hyperlink ref="I88" r:id="rId94" xr:uid="{00000000-0004-0000-0000-0000B4000000}"/>
    <hyperlink ref="I89" r:id="rId95" xr:uid="{00000000-0004-0000-0000-0000B6000000}"/>
    <hyperlink ref="O89" r:id="rId96" display="v Australia" xr:uid="{489E66A8-13A2-4878-A9A4-3968039E70F6}"/>
    <hyperlink ref="O88" r:id="rId97" display="v New Zealand" xr:uid="{ED6BBF12-FFB6-4BD7-9F7C-F3EEA7CE9EAA}"/>
    <hyperlink ref="O87" r:id="rId98" display="v Netherlands" xr:uid="{699273C2-3969-433C-996E-52E0DD2B3ACF}"/>
    <hyperlink ref="O86" r:id="rId99" display="v South Africa" xr:uid="{341E02D6-19A5-42A9-ABF1-733A7EBCAA9A}"/>
    <hyperlink ref="O85" r:id="rId100" display="v Sri Lanka" xr:uid="{127C13E3-AE11-41AB-8ACF-6A67660C20C5}"/>
    <hyperlink ref="O84" r:id="rId101" display="v England" xr:uid="{BDD98BAD-6FBC-4112-B330-BE7F0C9D66C1}"/>
    <hyperlink ref="O83" r:id="rId102" display="v New Zealand" xr:uid="{DF19EA1B-02F0-4560-A6B0-3361AFAF5042}"/>
    <hyperlink ref="O82" r:id="rId103" display="v Bangladesh" xr:uid="{AED1D02F-0516-4FD6-A02A-0B57026C697E}"/>
    <hyperlink ref="O81" r:id="rId104" display="v Pakistan" xr:uid="{AB4CD827-8089-48F6-BEA7-6349AB72D009}"/>
    <hyperlink ref="O80" r:id="rId105" display="v Afghanistan" xr:uid="{04C478EA-2329-4C60-98CE-8889F6FBDDAD}"/>
    <hyperlink ref="O79" r:id="rId106" display="v Australia" xr:uid="{D2228F18-FB3F-4F90-AAF8-9744E6BD46B3}"/>
    <hyperlink ref="O78" r:id="rId107" display="v Australia" xr:uid="{F8BB13D0-7B43-44AC-94A5-3279906455F7}"/>
    <hyperlink ref="O77" r:id="rId108" display="v Australia" xr:uid="{838A37D4-DCA8-48FA-B80D-B11BC8B332B2}"/>
    <hyperlink ref="O76" r:id="rId109" display="v Sri Lanka" xr:uid="{4B545AED-85D2-46BB-9CDF-533E8F79D4EC}"/>
    <hyperlink ref="O75" r:id="rId110" display="v Sri Lanka" xr:uid="{5266DAB6-ED4F-4AB6-B956-FA047F487B9C}"/>
    <hyperlink ref="O74" r:id="rId111" display="v Pakistan" xr:uid="{A64EC86A-4EB0-46AD-9C35-9718BEE103E6}"/>
    <hyperlink ref="O73" r:id="rId112" display="v England" xr:uid="{BB3412CC-79F7-436D-82CD-A5EC15BCD3DE}"/>
    <hyperlink ref="O72" r:id="rId113" display="v England" xr:uid="{AD449A07-45F8-4BC9-BD29-A7FAD9A2E083}"/>
    <hyperlink ref="O71" r:id="rId114" display="v South Africa" xr:uid="{E6553A37-57D3-431B-9EDF-F354688B2A23}"/>
    <hyperlink ref="O70" r:id="rId115" display="v South Africa" xr:uid="{66E5E0CD-9B71-434F-AF17-3D35692348F7}"/>
    <hyperlink ref="O69" r:id="rId116" display="v South Africa" xr:uid="{4B78F6D1-AC6E-42DC-B958-95B628FDAA6D}"/>
    <hyperlink ref="O68" r:id="rId117" display="v Australia" xr:uid="{F0282E38-1F7A-4815-980B-40D9939CCC18}"/>
    <hyperlink ref="O67" r:id="rId118" display="v Australia" xr:uid="{5794295A-4C79-4A59-90F9-D06C19FD4C27}"/>
    <hyperlink ref="O66" r:id="rId119" display="v Australia" xr:uid="{D5AA26BE-D17B-4DA7-B67D-CECDDA5391ED}"/>
    <hyperlink ref="O65" r:id="rId120" display="v New Zealand" xr:uid="{6E3A4662-C938-4BA5-ADD0-EBCF2F5EAB26}"/>
    <hyperlink ref="O64" r:id="rId121" display="v New Zealand" xr:uid="{F3FFE9AE-E2C7-4D45-8887-85F71D668298}"/>
    <hyperlink ref="O63" r:id="rId122" display="v New Zealand" xr:uid="{0F34D996-348E-48F5-9575-69C0230B48B2}"/>
    <hyperlink ref="O62" r:id="rId123" display="v Australia" xr:uid="{45D88266-C7FE-4917-8098-BEF67EB649D0}"/>
    <hyperlink ref="O61" r:id="rId124" display="v Australia" xr:uid="{CB9B8619-487A-4173-A005-17CDE9257897}"/>
    <hyperlink ref="O60" r:id="rId125" display="v Australia" xr:uid="{398CB255-BBCC-484F-8F04-FE088D11F24F}"/>
    <hyperlink ref="O59" r:id="rId126" display="v New Zealand" xr:uid="{6F42574D-4759-4104-941B-8F856626E602}"/>
    <hyperlink ref="O58" r:id="rId127" display="v Sri Lanka" xr:uid="{347595E7-3FDD-480A-AB91-87A7BED9C7F3}"/>
    <hyperlink ref="O57" r:id="rId128" display="v Bangladesh" xr:uid="{14B7B0FC-5902-4A58-8476-320BBCEEB522}"/>
    <hyperlink ref="O56" r:id="rId129" display="v England" xr:uid="{EC0CFB6C-9348-4D20-814B-91EE73EBABE2}"/>
    <hyperlink ref="O55" r:id="rId130" display="v West Indies" xr:uid="{8F85645A-F8BB-4F1F-B3BF-A13CA9E8E255}"/>
    <hyperlink ref="O54" r:id="rId131" display="v Afghanistan" xr:uid="{F990E40E-E1E3-45E9-80DF-ABC046E5D446}"/>
    <hyperlink ref="O53" r:id="rId132" display="v Pakistan" xr:uid="{457282BE-5162-44E7-9BA4-9C0FC560838D}"/>
    <hyperlink ref="O52" r:id="rId133" display="v Australia" xr:uid="{4A40D084-332E-4329-B9CA-29059903CF51}"/>
    <hyperlink ref="O51" r:id="rId134" display="v South Africa" xr:uid="{E3331B33-997C-4285-AAC7-7BC02756BE9D}"/>
    <hyperlink ref="O50" r:id="rId135" display="v Australia" xr:uid="{CE350E07-6D6E-45D0-8811-7B8AD736F51A}"/>
    <hyperlink ref="O49" r:id="rId136" display="v Australia" xr:uid="{98C66D02-83EC-47D3-9A24-E11258EAECCF}"/>
    <hyperlink ref="O48" r:id="rId137" display="v Australia" xr:uid="{18DE7031-7852-4B44-9C25-1BB59DAD6408}"/>
    <hyperlink ref="O47" r:id="rId138" display="v Australia" xr:uid="{4ED003C3-2462-4550-9065-F681CD0BF5CB}"/>
    <hyperlink ref="O46" r:id="rId139" display="v Australia" xr:uid="{7E8FC3A4-FF24-4BD6-AA9B-1E2865A2A0E0}"/>
    <hyperlink ref="O45" r:id="rId140" display="v West Indies" xr:uid="{6F1B549D-0093-4020-9FA4-872B5698051C}"/>
    <hyperlink ref="O44" r:id="rId141" display="v West Indies" xr:uid="{F12F5C40-0478-4288-8BB7-2364741D6A86}"/>
    <hyperlink ref="O43" r:id="rId142" display="v West Indies" xr:uid="{D135DC84-7BD8-4166-B13A-196FDC9F92D9}"/>
    <hyperlink ref="O42" r:id="rId143" display="v Bangladesh" xr:uid="{2EF7DA2B-5A2A-4187-958A-5D238B2C3052}"/>
    <hyperlink ref="O41" r:id="rId144" display="v Pakistan" xr:uid="{DDC561FA-5131-433A-B005-238B8B36CA7C}"/>
    <hyperlink ref="O40" r:id="rId145" display="v Bangladesh" xr:uid="{77140A88-56E9-405B-A0FF-9DC53C9187BB}"/>
    <hyperlink ref="O39" r:id="rId146" display="v Pakistan" xr:uid="{DB15247E-8AF0-44FC-A664-D3816154A031}"/>
    <hyperlink ref="O38" r:id="rId147" display="v South Africa" xr:uid="{2DE28F88-7057-4ECF-915A-46C838DD878E}"/>
    <hyperlink ref="O37" r:id="rId148" display="v South Africa" xr:uid="{BB7D62BA-3CEB-430E-95C4-C1C560ADEE47}"/>
    <hyperlink ref="O36" r:id="rId149" display="v South Africa" xr:uid="{77768753-187C-493F-BC14-DB9B54214E2D}"/>
    <hyperlink ref="O35" r:id="rId150" display="v South Africa" xr:uid="{C5703CD4-625B-419A-923B-A046B4D84D55}"/>
    <hyperlink ref="O34" r:id="rId151" display="v South Africa" xr:uid="{19E9ED3D-5670-4AE9-86C2-BBA03D5007D3}"/>
    <hyperlink ref="O33" r:id="rId152" display="v South Africa" xr:uid="{415FB5A1-B006-4519-B079-B45F72E576E1}"/>
    <hyperlink ref="O32" r:id="rId153" display="v Sri Lanka" xr:uid="{9AE1BECF-37BF-4648-BC88-E5B1AB531EFE}"/>
    <hyperlink ref="O31" r:id="rId154" display="v Sri Lanka" xr:uid="{6C375F07-06FC-4AF6-B68A-764648842DD2}"/>
    <hyperlink ref="O30" r:id="rId155" display="v Sri Lanka" xr:uid="{8A0438F0-78C8-4830-83A6-B904F72064C6}"/>
    <hyperlink ref="O29" r:id="rId156" display="v New Zealand" xr:uid="{604157B6-D907-457D-A1C6-B50AB29D0A76}"/>
    <hyperlink ref="O28" r:id="rId157" display="v New Zealand" xr:uid="{588275C0-099C-4396-A58A-DB923F8F8F44}"/>
    <hyperlink ref="O27" r:id="rId158" display="v New Zealand" xr:uid="{AE1E7DC9-A038-48D6-904B-C73A30847459}"/>
    <hyperlink ref="O26" r:id="rId159" display="v Australia" xr:uid="{55B2F3DE-6594-4F8C-8978-5A4BF6580721}"/>
    <hyperlink ref="O25" r:id="rId160" display="v Australia" xr:uid="{87408B25-6C95-4F54-9B19-AC1EC4AC2018}"/>
    <hyperlink ref="O24" r:id="rId161" display="v Australia" xr:uid="{D85D66D6-F90A-443D-9906-9D0D9037531D}"/>
    <hyperlink ref="O23" r:id="rId162" display="v Australia" xr:uid="{C5AE8958-97DE-4FB1-B11D-73B75F8157FF}"/>
    <hyperlink ref="O22" r:id="rId163" display="v Sri Lanka" xr:uid="{F11EDD21-1B55-4238-8674-30EB30D13DA5}"/>
    <hyperlink ref="O21" r:id="rId164" display="v Sri Lanka" xr:uid="{90EBE523-F706-46FB-ACDA-C0389F8FAD2A}"/>
    <hyperlink ref="O20" r:id="rId165" display="v Sri Lanka" xr:uid="{2CFF721B-8333-45C8-AC33-AC0238A4F197}"/>
    <hyperlink ref="O19" r:id="rId166" display="v Sri Lanka" xr:uid="{75553764-E66C-41DA-9EC7-64AB78BC3146}"/>
    <hyperlink ref="O18" r:id="rId167" display="v Sri Lanka" xr:uid="{B89117DE-1D61-42CC-89A9-DE1AE5F7689D}"/>
    <hyperlink ref="O17" r:id="rId168" display="v Pakistan" xr:uid="{BAA532DE-DE84-4ADD-81E1-AF95E20A520A}"/>
    <hyperlink ref="O16" r:id="rId169" display="v Bangladesh" xr:uid="{6A9A892B-C367-408D-8695-D0DB6C138D63}"/>
    <hyperlink ref="O15" r:id="rId170" display="v South Africa" xr:uid="{1D182AD0-2CBB-4279-9B55-2DAE532355A2}"/>
    <hyperlink ref="O14" r:id="rId171" display="v Sri Lanka" xr:uid="{C03C4F4B-866E-4B25-8AFF-29158C4E4A53}"/>
    <hyperlink ref="O13" r:id="rId172" display="v Pakistan" xr:uid="{9E0FA827-3E6E-4735-BC39-549A36FE65D7}"/>
    <hyperlink ref="O12" r:id="rId173" display="v England" xr:uid="{85FB8C63-2C48-4B21-B79A-0BA24878B41C}"/>
    <hyperlink ref="O11" r:id="rId174" display="v England" xr:uid="{BD97577C-9AC4-4E1E-9057-FD63B2982726}"/>
    <hyperlink ref="O10" r:id="rId175" display="v England" xr:uid="{A9AC38D4-0C56-4B2C-8859-8C651179971D}"/>
    <hyperlink ref="O9" r:id="rId176" display="v New Zealand" xr:uid="{84F68953-BEAB-4E7F-9ADB-0090BA22BFC3}"/>
    <hyperlink ref="O8" r:id="rId177" display="v New Zealand" xr:uid="{17B3EE79-B14B-49CD-906F-A66E7236DF35}"/>
    <hyperlink ref="O7" r:id="rId178" display="v New Zealand" xr:uid="{469BDF18-28F6-44C4-B5CE-54467BA9CE5B}"/>
    <hyperlink ref="O6" r:id="rId179" display="v New Zealand" xr:uid="{F9AEEE3E-4ACD-4614-A18D-363652C6B00E}"/>
    <hyperlink ref="O5" r:id="rId180" display="v Zimbabwe" xr:uid="{E609B363-20F5-4E61-96CC-A0A9F16261B5}"/>
    <hyperlink ref="O4" r:id="rId181" display="v Zimbabwe" xr:uid="{F13D21E7-0FC8-49DA-8B06-AE1EC6AC3584}"/>
    <hyperlink ref="O3" r:id="rId182" display="v Zimbabwe" xr:uid="{437F325A-2B9C-4A50-B70C-EC302F56F964}"/>
    <hyperlink ref="O2" r:id="rId183" display="v Australia" xr:uid="{EA366FE9-7D40-451D-9875-1D0F82434969}"/>
    <hyperlink ref="H2" r:id="rId184" xr:uid="{1966B9DD-B340-434B-8124-AD96756D7877}"/>
    <hyperlink ref="H3" r:id="rId185" xr:uid="{D3B0FEA7-405A-450B-9F83-023332E2D740}"/>
    <hyperlink ref="H4" r:id="rId186" xr:uid="{7166B9C4-B67E-4D1C-B91B-284EB7496916}"/>
    <hyperlink ref="H5" r:id="rId187" xr:uid="{198C4F29-EA9F-411E-B581-EBC02DE938B0}"/>
    <hyperlink ref="H6" r:id="rId188" xr:uid="{85F4AF01-D0B3-4B70-9AED-4F5340744859}"/>
    <hyperlink ref="H7" r:id="rId189" xr:uid="{9BDD7669-70B3-4260-808F-F2BFF09B6240}"/>
    <hyperlink ref="H8" r:id="rId190" xr:uid="{FC4FD5E3-C3F3-4FEE-A5EE-0BF4E3CD3275}"/>
    <hyperlink ref="H9" r:id="rId191" xr:uid="{C214CCC3-8AF9-4C99-B97E-5274436CC53A}"/>
    <hyperlink ref="H10" r:id="rId192" xr:uid="{145DFCB6-89C1-413F-8A58-D0CD79C36008}"/>
    <hyperlink ref="H11" r:id="rId193" xr:uid="{D18D3CA4-11D4-4B1E-A602-3ABF63D9A83A}"/>
    <hyperlink ref="H12" r:id="rId194" xr:uid="{38A90077-97F6-4410-89FE-C892C3056768}"/>
    <hyperlink ref="H13" r:id="rId195" xr:uid="{B283541B-7612-4C1E-91E2-B8B53EDD0FBE}"/>
    <hyperlink ref="H14" r:id="rId196" xr:uid="{22B6AE3A-7C62-454D-91B1-CD44586EB1E6}"/>
    <hyperlink ref="H15" r:id="rId197" xr:uid="{1C8C6473-773E-4E27-9A2B-BB0B43A9A342}"/>
    <hyperlink ref="H16" r:id="rId198" xr:uid="{A7040E6A-326D-4E6F-9F0D-0F44C318EE3E}"/>
    <hyperlink ref="H17" r:id="rId199" xr:uid="{C0B97F03-A557-43CC-93BB-CD28984E8C4B}"/>
    <hyperlink ref="H18" r:id="rId200" xr:uid="{BF3AA3F0-05B7-4310-B6F0-779661F6605C}"/>
    <hyperlink ref="H19" r:id="rId201" xr:uid="{AC17C422-57FF-42B1-9B6D-0E0918EDD220}"/>
    <hyperlink ref="H20" r:id="rId202" xr:uid="{20DF43C5-577E-4332-B9C4-81EF2764528C}"/>
    <hyperlink ref="H21" r:id="rId203" xr:uid="{E8EDD09A-2C62-499D-A412-C184F74B5BC4}"/>
    <hyperlink ref="H22" r:id="rId204" xr:uid="{7462576F-C912-4674-92E4-4D2976BF7BC7}"/>
    <hyperlink ref="H23" r:id="rId205" xr:uid="{E608B76D-BF2E-44D7-94FF-BA061A69F8DB}"/>
    <hyperlink ref="H24" r:id="rId206" xr:uid="{F4D8E469-E3A6-4027-9D6A-7E4834ED058B}"/>
    <hyperlink ref="H25" r:id="rId207" xr:uid="{4CF36FD4-DB4E-4322-9DB8-785F7EE25236}"/>
    <hyperlink ref="H26" r:id="rId208" xr:uid="{2CE47A1C-ADC4-405A-8DDE-8EF9BF7551F5}"/>
    <hyperlink ref="H27" r:id="rId209" xr:uid="{BF4C5333-A1FB-4DF0-A824-B2AD85D49F2E}"/>
    <hyperlink ref="H28" r:id="rId210" xr:uid="{704929E9-81F8-484E-A6F0-B62787266149}"/>
    <hyperlink ref="H29" r:id="rId211" xr:uid="{25EA5027-B0E9-4935-91FD-1D6538908160}"/>
    <hyperlink ref="H30" r:id="rId212" xr:uid="{71302355-777E-4C9B-BA5E-54C21402B527}"/>
    <hyperlink ref="H31" r:id="rId213" xr:uid="{7670289E-F6DB-47B2-9B99-9FB9C756740E}"/>
    <hyperlink ref="H32" r:id="rId214" xr:uid="{350EF6C6-8497-473A-96D8-68F8274119FE}"/>
    <hyperlink ref="H33" r:id="rId215" xr:uid="{436020D9-F4B2-4DEF-9E47-29E8E4C453EF}"/>
    <hyperlink ref="H34" r:id="rId216" xr:uid="{7C9C40C6-F30D-4C28-B5B8-ED6B9FC2420F}"/>
    <hyperlink ref="H35" r:id="rId217" xr:uid="{FF80BA10-5932-4FD7-AD8A-981210ABFF06}"/>
    <hyperlink ref="H36" r:id="rId218" xr:uid="{CE098626-9E81-4241-95C2-B789EB649FDD}"/>
    <hyperlink ref="H37" r:id="rId219" xr:uid="{D6A19101-79FE-4AEC-861D-80A23D38E1A4}"/>
    <hyperlink ref="H38" r:id="rId220" xr:uid="{FDE3CDAE-DA93-42AF-ADEF-34CD6B8EFC0C}"/>
    <hyperlink ref="H39" r:id="rId221" xr:uid="{5D8435FA-5645-49D4-B71C-901CE7F7D661}"/>
    <hyperlink ref="H40" r:id="rId222" xr:uid="{B51842C5-1D63-46E7-9FBD-E6C696093886}"/>
    <hyperlink ref="H41" r:id="rId223" xr:uid="{2A204C79-611B-40B3-85CF-E4ECD3526211}"/>
    <hyperlink ref="H42" r:id="rId224" xr:uid="{D73DD0E9-1922-4A3E-8243-59D552D5B0F1}"/>
    <hyperlink ref="H43" r:id="rId225" xr:uid="{4B065534-74FF-47FE-AC05-0B5AD169F7B5}"/>
    <hyperlink ref="H44" r:id="rId226" xr:uid="{B622A9AF-8DBA-4117-855C-CD95EBBE4800}"/>
    <hyperlink ref="H45" r:id="rId227" xr:uid="{6E4EC724-950C-4E69-B03F-D2E2057F94F5}"/>
    <hyperlink ref="H46" r:id="rId228" xr:uid="{767F5064-52AB-47CE-B95A-496D26A67686}"/>
    <hyperlink ref="H47" r:id="rId229" xr:uid="{C582AB81-0BDA-4497-907B-F000D7A15D28}"/>
    <hyperlink ref="H48" r:id="rId230" xr:uid="{76BD7A44-5AB4-49D2-BDCC-5B183FB88C99}"/>
    <hyperlink ref="H49" r:id="rId231" xr:uid="{71091D02-2D9F-4C7E-8EC3-D783D55D0769}"/>
    <hyperlink ref="H50" r:id="rId232" xr:uid="{C7561554-2526-44B0-A5D9-453427AEF6B5}"/>
    <hyperlink ref="H51" r:id="rId233" xr:uid="{625C1F74-46C7-4CD7-869F-1DF5163B7FFF}"/>
    <hyperlink ref="H52" r:id="rId234" xr:uid="{18A604C3-109B-4777-9F62-4C7438F35E01}"/>
    <hyperlink ref="H53" r:id="rId235" xr:uid="{3B3921E8-4D4C-4B8D-8315-3CAD6C83E77A}"/>
    <hyperlink ref="H54" r:id="rId236" xr:uid="{EB45EB24-90AD-490C-9B0C-B17AF86136A0}"/>
    <hyperlink ref="H55" r:id="rId237" xr:uid="{A8FE3BA9-349A-4F1F-B41E-DE670E1AF7B6}"/>
    <hyperlink ref="H56" r:id="rId238" xr:uid="{6E2FDF97-19CC-47EF-802B-F566BEB9D405}"/>
    <hyperlink ref="H57" r:id="rId239" xr:uid="{2F96B0EF-7165-4884-95F0-DF50F9BCCEA1}"/>
    <hyperlink ref="H58" r:id="rId240" xr:uid="{521F7E63-02ED-4BF2-9A11-B17B76B2A56E}"/>
    <hyperlink ref="H59" r:id="rId241" xr:uid="{A07F91C4-4E54-4BDF-B358-B92FBCE7A2E5}"/>
    <hyperlink ref="H60" r:id="rId242" xr:uid="{5BF51D4E-F621-49AC-BC07-A3BF0DBB06E1}"/>
    <hyperlink ref="H61" r:id="rId243" xr:uid="{1834C045-A48F-4E2B-AA61-5F8BA51A5673}"/>
    <hyperlink ref="H62" r:id="rId244" xr:uid="{C1F058A9-130C-4492-AE04-5E32F163AC9B}"/>
    <hyperlink ref="H63" r:id="rId245" xr:uid="{B80AC4E6-E3D3-4F7E-BA3E-52DD7E787646}"/>
    <hyperlink ref="H64" r:id="rId246" xr:uid="{BDD7FAA7-9D67-4786-9D62-77155363289D}"/>
    <hyperlink ref="H65" r:id="rId247" xr:uid="{F086FC21-45E6-49C8-BCF2-4584E9C43B31}"/>
    <hyperlink ref="H66" r:id="rId248" xr:uid="{F76DEDF4-9DD9-4BBA-99A2-F2A4381D1F22}"/>
    <hyperlink ref="H67" r:id="rId249" xr:uid="{B72A7E85-2385-4F49-8A8C-C3E72885604E}"/>
    <hyperlink ref="H68" r:id="rId250" xr:uid="{D67DFCF3-6454-4698-BD5A-DA702CF8D3C7}"/>
    <hyperlink ref="H69" r:id="rId251" xr:uid="{AD4C7A5E-2422-4168-8500-ABF922E458CA}"/>
    <hyperlink ref="H70" r:id="rId252" xr:uid="{C045C03B-4B2E-49FC-A996-545609F5239A}"/>
    <hyperlink ref="H71" r:id="rId253" xr:uid="{04EE8B8B-0009-4B5C-9C79-B25BD06816BB}"/>
    <hyperlink ref="H72" r:id="rId254" xr:uid="{5B4A1BD8-2E4A-4C8F-8C90-A4AF7B6402F1}"/>
    <hyperlink ref="H73" r:id="rId255" xr:uid="{357685CC-4536-48B9-9550-153881BFD1DB}"/>
    <hyperlink ref="H74" r:id="rId256" xr:uid="{167CE16E-66BB-473B-B2B2-C30465390460}"/>
    <hyperlink ref="H75" r:id="rId257" xr:uid="{A0A082D5-A0C1-4B7B-96CF-F6B54E8D5DF1}"/>
    <hyperlink ref="H76" r:id="rId258" xr:uid="{21BE17A8-9168-46D7-BD74-456EC4C0AC5E}"/>
    <hyperlink ref="H77" r:id="rId259" xr:uid="{9853D8B0-5C44-4813-8AAF-4E20DACC30AD}"/>
    <hyperlink ref="H78" r:id="rId260" xr:uid="{892BD587-64AE-482B-9BEE-D05367062848}"/>
    <hyperlink ref="H79" r:id="rId261" xr:uid="{6E207B52-28DE-4480-954D-794B74BB9FC1}"/>
    <hyperlink ref="H80" r:id="rId262" xr:uid="{C19EAE96-A862-4751-85DE-53768A5431B1}"/>
    <hyperlink ref="H81" r:id="rId263" xr:uid="{6B574C63-2AF1-40CA-8321-F93CAC1E521D}"/>
    <hyperlink ref="H82" r:id="rId264" xr:uid="{197B1E42-9F0D-485A-B4A4-0E2C1B1BE5D4}"/>
    <hyperlink ref="H83" r:id="rId265" xr:uid="{71A807E2-8A29-49AE-AFB9-61DDED276004}"/>
    <hyperlink ref="H84" r:id="rId266" xr:uid="{5E1C7EF2-44B3-4AC0-AFA8-B29EC4186CE0}"/>
    <hyperlink ref="H85" r:id="rId267" xr:uid="{88A2E4BF-2364-437B-A053-76335DC9BCF8}"/>
    <hyperlink ref="H86" r:id="rId268" xr:uid="{E27006DB-8ED8-4FA4-ADD6-7589AB45072A}"/>
    <hyperlink ref="H87" r:id="rId269" xr:uid="{DCB22E5C-1401-45ED-AF21-0A1570E9D787}"/>
    <hyperlink ref="H88" r:id="rId270" xr:uid="{087825FC-E424-4F21-830A-CEC40E0CAF8E}"/>
    <hyperlink ref="H89" r:id="rId271" xr:uid="{6DFDDDB8-9DE7-40C9-B872-F4C1383B94C2}"/>
    <hyperlink ref="P2" r:id="rId272" display="Sydney" xr:uid="{09DB89F1-6CB6-43D1-88DF-3B6EA1CB3651}"/>
    <hyperlink ref="P3" r:id="rId273" display="Harare" xr:uid="{9BE07714-5E99-4B28-8946-4B00A242719D}"/>
    <hyperlink ref="P4" r:id="rId274" display="Harare" xr:uid="{8947949B-D522-4B4F-B5BB-708D1C5211B8}"/>
    <hyperlink ref="P5" r:id="rId275" display="Harare" xr:uid="{B93A8F35-96AB-4862-978F-2C922BD0A891}"/>
    <hyperlink ref="P6" r:id="rId276" display="Dharamsala" xr:uid="{AACB2017-C1B2-48B8-8BCC-BED8341F3F55}"/>
    <hyperlink ref="P7" r:id="rId277" display="Delhi" xr:uid="{EDD31916-4B22-41D2-87DA-DBEB592D396D}"/>
    <hyperlink ref="P8" r:id="rId278" display="Mohali" xr:uid="{09266DA7-9573-4F17-9A12-1B4B60ADA5F2}"/>
    <hyperlink ref="P9" r:id="rId279" display="Visakhapatnam" xr:uid="{08DC679E-AE86-4857-A0E8-D955549497DD}"/>
    <hyperlink ref="P10" r:id="rId280" display="Pune" xr:uid="{7790F9E3-DAAB-413D-8CB8-C4B9B5F5092A}"/>
    <hyperlink ref="P13" r:id="rId281" display="Birmingham" xr:uid="{CF3FBB69-592B-44C0-9426-39205B562DF3}"/>
    <hyperlink ref="P17" r:id="rId282" display="The Oval" xr:uid="{A819B6C0-5D3B-4B12-91A5-FD90D129040A}"/>
    <hyperlink ref="P18" r:id="rId283" display="Dambulla" xr:uid="{9474FBB3-09FE-4D5B-88D0-55C10DEC1EE0}"/>
    <hyperlink ref="P23" r:id="rId284" display="Chennai" xr:uid="{85A0C73F-D61F-42C0-84E1-0B4374F4D3F8}"/>
    <hyperlink ref="P33" r:id="rId285" display="Durban" xr:uid="{D6093261-F882-46B4-82F3-EDA303FEB2D0}"/>
    <hyperlink ref="P39" r:id="rId286" display="Dubai (DICS)" xr:uid="{C3E2FB4D-FE06-49F8-BADC-376DDE77DFF7}"/>
    <hyperlink ref="P43" r:id="rId287" display="Pune" xr:uid="{0A109333-7A9E-41C7-8706-F12DA8479ACC}"/>
    <hyperlink ref="P51" r:id="rId288" display="Southampton" xr:uid="{B98A3AC8-7630-4611-B4D5-EE39C3D05891}"/>
    <hyperlink ref="P60" r:id="rId289" display="Wankhede" xr:uid="{BB14DF08-63B8-404D-88EF-8C06A9B43493}"/>
    <hyperlink ref="P63" r:id="rId290" display="Hamilton" xr:uid="{A81F130F-E91E-4931-9404-F5E3B326D131}"/>
    <hyperlink ref="P69" r:id="rId291" display="Paarl" xr:uid="{BE0A7B28-C210-4ADD-BAD2-F2376C8D72D0}"/>
    <hyperlink ref="P72" r:id="rId292" display="The Oval" xr:uid="{B6634A64-9147-4557-9AE6-B40CA17E66F5}"/>
    <hyperlink ref="P73" r:id="rId293" display="Lord's" xr:uid="{EAD9C11B-631F-456D-8491-A38E38A1C2A6}"/>
    <hyperlink ref="P74" r:id="rId294" display="Colombo (RPS)" xr:uid="{33EF459A-4848-4F36-AEB6-DC3A0FB48F17}"/>
    <hyperlink ref="P75" r:id="rId295" display="Colombo (RPS)" xr:uid="{B10D047C-7663-43DD-B58C-A320152FAB07}"/>
    <hyperlink ref="P76" r:id="rId296" display="Colombo (RPS)" xr:uid="{C2218DE4-EE4F-4492-B0BA-17767EE88991}"/>
    <hyperlink ref="P77" r:id="rId297" display="Mohali" xr:uid="{7056C359-F424-4B0A-B309-D753C7D9F06C}"/>
    <hyperlink ref="P11:P12" r:id="rId298" display="Pune" xr:uid="{FD4403FA-A48A-4F1E-8AF7-9531BC4F8C63}"/>
    <hyperlink ref="P14:P16" r:id="rId299" display="Birmingham" xr:uid="{471F917F-5A02-4063-951C-81D7DF30931B}"/>
    <hyperlink ref="P19:P22" r:id="rId300" display="Dambulla" xr:uid="{4ED6964C-82CC-4DBB-8D52-CC40B9FD3BFF}"/>
    <hyperlink ref="P24:P32" r:id="rId301" display="Chennai" xr:uid="{8A4ED017-43DA-4F3F-BC29-F4C449F9C9A0}"/>
    <hyperlink ref="P34:P38" r:id="rId302" display="Durban" xr:uid="{C97BAE97-6DB7-40C9-945F-EB44287786D0}"/>
    <hyperlink ref="P40:P42" r:id="rId303" display="Dubai (DICS)" xr:uid="{06382E98-2C3D-4A95-9DD7-C3CE22FBAF9D}"/>
    <hyperlink ref="P44:P50" r:id="rId304" display="Pune" xr:uid="{2EF4236A-2F15-4AA7-BD60-34E64FB4588E}"/>
    <hyperlink ref="P52:P59" r:id="rId305" display="Southampton" xr:uid="{14CB9EDF-5A45-43AC-8A6E-D2E8EEA2FE19}"/>
    <hyperlink ref="P61:P62" r:id="rId306" display="Wankhede" xr:uid="{CDB39F5F-79B7-4244-9294-334E59D93D92}"/>
    <hyperlink ref="P64:P68" r:id="rId307" display="Hamilton" xr:uid="{A11E9B24-4274-4994-9A37-E7B42ABDD63F}"/>
    <hyperlink ref="P70:P71" r:id="rId308" display="Paarl" xr:uid="{2C5094AC-372C-4D6D-B597-F3BB98BAE94A}"/>
    <hyperlink ref="P78:P89" r:id="rId309" display="Mohali" xr:uid="{B5CB0A9E-6237-4C37-A621-CE811A3E42A4}"/>
  </hyperlinks>
  <pageMargins left="0.7" right="0.7" top="0.75" bottom="0.75" header="0.3" footer="0.3"/>
  <drawing r:id="rId3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EB0E-28CE-44A5-9C24-BDD602C2F8D0}">
  <dimension ref="A1:A90"/>
  <sheetViews>
    <sheetView workbookViewId="0">
      <selection sqref="A1:A89"/>
    </sheetView>
  </sheetViews>
  <sheetFormatPr defaultRowHeight="14.4"/>
  <cols>
    <col min="1" max="1" width="7.109375" bestFit="1" customWidth="1"/>
  </cols>
  <sheetData>
    <row r="1" spans="1:1" ht="17.399999999999999">
      <c r="A1" s="10" t="s">
        <v>6</v>
      </c>
    </row>
    <row r="2" spans="1:1" ht="17.399999999999999">
      <c r="A2" s="4">
        <v>1.0900000000000001</v>
      </c>
    </row>
    <row r="3" spans="1:1" ht="17.399999999999999">
      <c r="A3" s="4">
        <v>1.0900000000000001</v>
      </c>
    </row>
    <row r="4" spans="1:1" ht="17.399999999999999">
      <c r="A4" s="4">
        <v>1.0900000000000001</v>
      </c>
    </row>
    <row r="5" spans="1:1" ht="17.399999999999999">
      <c r="A5" s="4">
        <v>1.0900000000000001</v>
      </c>
    </row>
    <row r="6" spans="1:1" ht="17.399999999999999">
      <c r="A6" s="4">
        <v>1.0900000000000001</v>
      </c>
    </row>
    <row r="7" spans="1:1" ht="17.399999999999999">
      <c r="A7" s="4">
        <v>1.0900000000000001</v>
      </c>
    </row>
    <row r="8" spans="1:1" ht="17.399999999999999">
      <c r="A8" s="4">
        <v>1.0900000000000001</v>
      </c>
    </row>
    <row r="9" spans="1:1" ht="17.399999999999999">
      <c r="A9" s="4">
        <v>0.85</v>
      </c>
    </row>
    <row r="10" spans="1:1" ht="17.399999999999999">
      <c r="A10" s="4">
        <v>1.0900000000000001</v>
      </c>
    </row>
    <row r="11" spans="1:1" ht="17.399999999999999">
      <c r="A11" s="4">
        <v>0.85</v>
      </c>
    </row>
    <row r="12" spans="1:1" ht="17.399999999999999">
      <c r="A12" s="4">
        <v>1.0900000000000001</v>
      </c>
    </row>
    <row r="13" spans="1:1" ht="17.399999999999999">
      <c r="A13" s="4">
        <v>0.85</v>
      </c>
    </row>
    <row r="14" spans="1:1" ht="17.399999999999999">
      <c r="A14" s="4">
        <v>0.85</v>
      </c>
    </row>
    <row r="15" spans="1:1" ht="17.399999999999999">
      <c r="A15" s="4">
        <v>1.0900000000000001</v>
      </c>
    </row>
    <row r="16" spans="1:1" ht="17.399999999999999">
      <c r="A16" s="4">
        <v>1.0900000000000001</v>
      </c>
    </row>
    <row r="17" spans="1:1" ht="17.399999999999999">
      <c r="A17" s="4">
        <v>1.0900000000000001</v>
      </c>
    </row>
    <row r="18" spans="1:1" ht="17.399999999999999">
      <c r="A18" s="4">
        <v>1.0900000000000001</v>
      </c>
    </row>
    <row r="19" spans="1:1" ht="17.399999999999999">
      <c r="A19" s="4">
        <v>1.0900000000000001</v>
      </c>
    </row>
    <row r="20" spans="1:1" ht="17.399999999999999">
      <c r="A20" s="4">
        <v>1.0900000000000001</v>
      </c>
    </row>
    <row r="21" spans="1:1" ht="17.399999999999999">
      <c r="A21" s="4">
        <v>0.85</v>
      </c>
    </row>
    <row r="22" spans="1:1" ht="17.399999999999999">
      <c r="A22" s="4">
        <v>1.0900000000000001</v>
      </c>
    </row>
    <row r="23" spans="1:1" ht="17.399999999999999">
      <c r="A23" s="4">
        <v>0.85</v>
      </c>
    </row>
    <row r="24" spans="1:1" ht="17.399999999999999">
      <c r="A24" s="4">
        <v>0.85</v>
      </c>
    </row>
    <row r="25" spans="1:1" ht="17.399999999999999">
      <c r="A25" s="4">
        <v>1.0900000000000001</v>
      </c>
    </row>
    <row r="26" spans="1:1" ht="17.399999999999999">
      <c r="A26" s="4">
        <v>1.0900000000000001</v>
      </c>
    </row>
    <row r="27" spans="1:1" ht="17.399999999999999">
      <c r="A27" s="4">
        <v>0.85</v>
      </c>
    </row>
    <row r="28" spans="1:1" ht="17.399999999999999">
      <c r="A28" s="4">
        <v>1.0900000000000001</v>
      </c>
    </row>
    <row r="29" spans="1:1" ht="17.399999999999999">
      <c r="A29" s="4">
        <v>0.85</v>
      </c>
    </row>
    <row r="30" spans="1:1" ht="17.399999999999999">
      <c r="A30" s="4">
        <v>0.85</v>
      </c>
    </row>
    <row r="31" spans="1:1" ht="17.399999999999999">
      <c r="A31" s="4">
        <v>0.85</v>
      </c>
    </row>
    <row r="32" spans="1:1" ht="17.399999999999999">
      <c r="A32" s="4">
        <v>1.0900000000000001</v>
      </c>
    </row>
    <row r="33" spans="1:1" ht="17.399999999999999">
      <c r="A33" s="4">
        <v>1.0900000000000001</v>
      </c>
    </row>
    <row r="34" spans="1:1" ht="17.399999999999999">
      <c r="A34" s="4">
        <v>1.0900000000000001</v>
      </c>
    </row>
    <row r="35" spans="1:1" ht="17.399999999999999">
      <c r="A35" s="4">
        <v>0.85</v>
      </c>
    </row>
    <row r="36" spans="1:1" ht="17.399999999999999">
      <c r="A36" s="4">
        <v>0.85</v>
      </c>
    </row>
    <row r="37" spans="1:1" ht="17.399999999999999">
      <c r="A37" s="4">
        <v>0.85</v>
      </c>
    </row>
    <row r="38" spans="1:1" ht="17.399999999999999">
      <c r="A38" s="4">
        <v>1.0900000000000001</v>
      </c>
    </row>
    <row r="39" spans="1:1" ht="17.399999999999999">
      <c r="A39" s="4">
        <v>1.0900000000000001</v>
      </c>
    </row>
    <row r="40" spans="1:1" ht="17.399999999999999">
      <c r="A40" s="4">
        <v>1.0900000000000001</v>
      </c>
    </row>
    <row r="41" spans="1:1" ht="17.399999999999999">
      <c r="A41" s="4">
        <v>1.0900000000000001</v>
      </c>
    </row>
    <row r="42" spans="1:1" ht="17.399999999999999">
      <c r="A42" s="4">
        <v>1.0900000000000001</v>
      </c>
    </row>
    <row r="43" spans="1:1" ht="17.399999999999999">
      <c r="A43" s="4">
        <v>1.0900000000000001</v>
      </c>
    </row>
    <row r="44" spans="1:1" ht="17.399999999999999">
      <c r="A44" s="4">
        <v>0.85</v>
      </c>
    </row>
    <row r="45" spans="1:1" ht="17.399999999999999">
      <c r="A45" s="4">
        <v>1.0900000000000001</v>
      </c>
    </row>
    <row r="46" spans="1:1" ht="17.399999999999999">
      <c r="A46" s="4">
        <v>1.0900000000000001</v>
      </c>
    </row>
    <row r="47" spans="1:1" ht="17.399999999999999">
      <c r="A47" s="4">
        <v>0.85</v>
      </c>
    </row>
    <row r="48" spans="1:1" ht="17.399999999999999">
      <c r="A48" s="4">
        <v>1.0900000000000001</v>
      </c>
    </row>
    <row r="49" spans="1:1" ht="17.399999999999999">
      <c r="A49" s="4">
        <v>0.85</v>
      </c>
    </row>
    <row r="50" spans="1:1" ht="17.399999999999999">
      <c r="A50" s="4">
        <v>1.0900000000000001</v>
      </c>
    </row>
    <row r="51" spans="1:1" ht="17.399999999999999">
      <c r="A51" s="4">
        <v>1.0900000000000001</v>
      </c>
    </row>
    <row r="52" spans="1:1" ht="17.399999999999999">
      <c r="A52" s="4">
        <v>0.85</v>
      </c>
    </row>
    <row r="53" spans="1:1" ht="17.399999999999999">
      <c r="A53" s="4">
        <v>0.85</v>
      </c>
    </row>
    <row r="54" spans="1:1" ht="17.399999999999999">
      <c r="A54" s="4">
        <v>0.85</v>
      </c>
    </row>
    <row r="55" spans="1:1" ht="17.399999999999999">
      <c r="A55" s="4">
        <v>0.85</v>
      </c>
    </row>
    <row r="56" spans="1:1" ht="17.399999999999999">
      <c r="A56" s="4">
        <v>1.0900000000000001</v>
      </c>
    </row>
    <row r="57" spans="1:1" ht="17.399999999999999">
      <c r="A57" s="4">
        <v>0.85</v>
      </c>
    </row>
    <row r="58" spans="1:1" ht="17.399999999999999">
      <c r="A58" s="4">
        <v>1.0900000000000001</v>
      </c>
    </row>
    <row r="59" spans="1:1" ht="17.399999999999999">
      <c r="A59" s="4">
        <v>1.0900000000000001</v>
      </c>
    </row>
    <row r="60" spans="1:1" ht="17.399999999999999">
      <c r="A60" s="4">
        <v>0.85</v>
      </c>
    </row>
    <row r="61" spans="1:1" ht="17.399999999999999">
      <c r="A61" s="4">
        <v>0.85</v>
      </c>
    </row>
    <row r="62" spans="1:1" ht="17.399999999999999">
      <c r="A62" s="4">
        <v>1.0900000000000001</v>
      </c>
    </row>
    <row r="63" spans="1:1" ht="17.399999999999999">
      <c r="A63" s="4">
        <v>0.85</v>
      </c>
    </row>
    <row r="64" spans="1:1" ht="17.399999999999999">
      <c r="A64" s="4">
        <v>1.0900000000000001</v>
      </c>
    </row>
    <row r="65" spans="1:1" ht="17.399999999999999">
      <c r="A65" s="4">
        <v>0.85</v>
      </c>
    </row>
    <row r="66" spans="1:1" ht="17.399999999999999">
      <c r="A66" s="4">
        <v>1.0900000000000001</v>
      </c>
    </row>
    <row r="67" spans="1:1" ht="17.399999999999999">
      <c r="A67" s="4">
        <v>1.0900000000000001</v>
      </c>
    </row>
    <row r="68" spans="1:1" ht="17.399999999999999">
      <c r="A68" s="4">
        <v>0.85</v>
      </c>
    </row>
    <row r="69" spans="1:1" ht="17.399999999999999">
      <c r="A69" s="4">
        <v>1.0900000000000001</v>
      </c>
    </row>
    <row r="70" spans="1:1" ht="17.399999999999999">
      <c r="A70" s="4">
        <v>0.85</v>
      </c>
    </row>
    <row r="71" spans="1:1" ht="17.399999999999999">
      <c r="A71" s="4">
        <v>1.0900000000000001</v>
      </c>
    </row>
    <row r="72" spans="1:1" ht="17.399999999999999">
      <c r="A72" s="4">
        <v>1.0900000000000001</v>
      </c>
    </row>
    <row r="73" spans="1:1" ht="17.399999999999999">
      <c r="A73" s="4">
        <v>1.0900000000000001</v>
      </c>
    </row>
    <row r="74" spans="1:1" ht="17.399999999999999">
      <c r="A74" s="4">
        <v>0.85</v>
      </c>
    </row>
    <row r="75" spans="1:1" ht="17.399999999999999">
      <c r="A75" s="4">
        <v>0.85</v>
      </c>
    </row>
    <row r="76" spans="1:1" ht="17.399999999999999">
      <c r="A76" s="4">
        <v>1.0900000000000001</v>
      </c>
    </row>
    <row r="77" spans="1:1" ht="17.399999999999999">
      <c r="A77" s="4">
        <v>1.0900000000000001</v>
      </c>
    </row>
    <row r="78" spans="1:1" ht="17.399999999999999">
      <c r="A78" s="4">
        <v>1.0900000000000001</v>
      </c>
    </row>
    <row r="79" spans="1:1" ht="17.399999999999999">
      <c r="A79" s="4">
        <v>1.0900000000000001</v>
      </c>
    </row>
    <row r="80" spans="1:1" ht="17.399999999999999">
      <c r="A80" s="4">
        <v>1.0900000000000001</v>
      </c>
    </row>
    <row r="81" spans="1:1" ht="17.399999999999999">
      <c r="A81" s="4">
        <v>1.0900000000000001</v>
      </c>
    </row>
    <row r="82" spans="1:1" ht="17.399999999999999">
      <c r="A82" s="4">
        <v>1.0900000000000001</v>
      </c>
    </row>
    <row r="83" spans="1:1" ht="17.399999999999999">
      <c r="A83" s="4">
        <v>1.0900000000000001</v>
      </c>
    </row>
    <row r="84" spans="1:1" ht="17.399999999999999">
      <c r="A84" s="4">
        <v>0.85</v>
      </c>
    </row>
    <row r="85" spans="1:1" ht="17.399999999999999">
      <c r="A85" s="4">
        <v>0.85</v>
      </c>
    </row>
    <row r="86" spans="1:1" ht="17.399999999999999">
      <c r="A86" s="4">
        <v>0.85</v>
      </c>
    </row>
    <row r="87" spans="1:1" ht="17.399999999999999">
      <c r="A87" s="4">
        <v>0.85</v>
      </c>
    </row>
    <row r="88" spans="1:1" ht="17.399999999999999">
      <c r="A88" s="4">
        <v>0.85</v>
      </c>
    </row>
    <row r="89" spans="1:1" ht="17.399999999999999">
      <c r="A89" s="4">
        <v>0.85</v>
      </c>
    </row>
    <row r="90" spans="1:1" ht="18">
      <c r="A9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F866-0839-49B7-BBD4-900018B80854}">
  <dimension ref="A1:A89"/>
  <sheetViews>
    <sheetView workbookViewId="0">
      <selection sqref="A1:A1048576"/>
    </sheetView>
  </sheetViews>
  <sheetFormatPr defaultRowHeight="14.4"/>
  <cols>
    <col min="1" max="1" width="14.6640625" bestFit="1" customWidth="1"/>
  </cols>
  <sheetData>
    <row r="1" spans="1:1" ht="18">
      <c r="A1" s="12" t="s">
        <v>12</v>
      </c>
    </row>
    <row r="2" spans="1:1" ht="18">
      <c r="A2" s="8">
        <v>0.91</v>
      </c>
    </row>
    <row r="3" spans="1:1" ht="18">
      <c r="A3" s="8">
        <v>0.91</v>
      </c>
    </row>
    <row r="4" spans="1:1" ht="18">
      <c r="A4" s="8">
        <v>0.91</v>
      </c>
    </row>
    <row r="5" spans="1:1" ht="18">
      <c r="A5" s="8">
        <v>0.91</v>
      </c>
    </row>
    <row r="6" spans="1:1" ht="18">
      <c r="A6" s="8">
        <v>1.1299999999999999</v>
      </c>
    </row>
    <row r="7" spans="1:1" ht="18">
      <c r="A7" s="8">
        <v>1.1299999999999999</v>
      </c>
    </row>
    <row r="8" spans="1:1" ht="18">
      <c r="A8" s="8">
        <v>1.1299999999999999</v>
      </c>
    </row>
    <row r="9" spans="1:1" ht="18">
      <c r="A9" s="8">
        <v>1.1299999999999999</v>
      </c>
    </row>
    <row r="10" spans="1:1" ht="18">
      <c r="A10" s="8">
        <v>1.1299999999999999</v>
      </c>
    </row>
    <row r="11" spans="1:1" ht="18">
      <c r="A11" s="8">
        <v>1.1299999999999999</v>
      </c>
    </row>
    <row r="12" spans="1:1" ht="18">
      <c r="A12" s="8">
        <v>1.1299999999999999</v>
      </c>
    </row>
    <row r="13" spans="1:1" ht="18">
      <c r="A13" s="8">
        <v>0.91</v>
      </c>
    </row>
    <row r="14" spans="1:1" ht="18">
      <c r="A14" s="8">
        <v>0.91</v>
      </c>
    </row>
    <row r="15" spans="1:1" ht="18">
      <c r="A15" s="8">
        <v>0.91</v>
      </c>
    </row>
    <row r="16" spans="1:1" ht="18">
      <c r="A16" s="8">
        <v>0.91</v>
      </c>
    </row>
    <row r="17" spans="1:1" ht="18">
      <c r="A17" s="8">
        <v>0.91</v>
      </c>
    </row>
    <row r="18" spans="1:1" ht="18">
      <c r="A18" s="8">
        <v>0.91</v>
      </c>
    </row>
    <row r="19" spans="1:1" ht="18">
      <c r="A19" s="8">
        <v>0.91</v>
      </c>
    </row>
    <row r="20" spans="1:1" ht="18">
      <c r="A20" s="8">
        <v>0.91</v>
      </c>
    </row>
    <row r="21" spans="1:1" ht="18">
      <c r="A21" s="8">
        <v>0.91</v>
      </c>
    </row>
    <row r="22" spans="1:1" ht="18">
      <c r="A22" s="8">
        <v>0.91</v>
      </c>
    </row>
    <row r="23" spans="1:1" ht="18">
      <c r="A23" s="8">
        <v>1.1299999999999999</v>
      </c>
    </row>
    <row r="24" spans="1:1" ht="18">
      <c r="A24" s="8">
        <v>1.1299999999999999</v>
      </c>
    </row>
    <row r="25" spans="1:1" ht="18">
      <c r="A25" s="8">
        <v>1.1299999999999999</v>
      </c>
    </row>
    <row r="26" spans="1:1" ht="18">
      <c r="A26" s="8">
        <v>1.1299999999999999</v>
      </c>
    </row>
    <row r="27" spans="1:1" ht="18">
      <c r="A27" s="8">
        <v>1.1299999999999999</v>
      </c>
    </row>
    <row r="28" spans="1:1" ht="18">
      <c r="A28" s="8">
        <v>1.1299999999999999</v>
      </c>
    </row>
    <row r="29" spans="1:1" ht="18">
      <c r="A29" s="8">
        <v>1.1299999999999999</v>
      </c>
    </row>
    <row r="30" spans="1:1" ht="18">
      <c r="A30" s="8">
        <v>1.1299999999999999</v>
      </c>
    </row>
    <row r="31" spans="1:1" ht="18">
      <c r="A31" s="8">
        <v>1.1299999999999999</v>
      </c>
    </row>
    <row r="32" spans="1:1" ht="18">
      <c r="A32" s="8">
        <v>1.1299999999999999</v>
      </c>
    </row>
    <row r="33" spans="1:1" ht="18">
      <c r="A33" s="8">
        <v>0.91</v>
      </c>
    </row>
    <row r="34" spans="1:1" ht="18">
      <c r="A34" s="8">
        <v>0.91</v>
      </c>
    </row>
    <row r="35" spans="1:1" ht="18">
      <c r="A35" s="8">
        <v>0.91</v>
      </c>
    </row>
    <row r="36" spans="1:1" ht="18">
      <c r="A36" s="8">
        <v>0.91</v>
      </c>
    </row>
    <row r="37" spans="1:1" ht="18">
      <c r="A37" s="8">
        <v>0.91</v>
      </c>
    </row>
    <row r="38" spans="1:1" ht="18">
      <c r="A38" s="8">
        <v>0.91</v>
      </c>
    </row>
    <row r="39" spans="1:1" ht="18">
      <c r="A39" s="8">
        <v>0.91</v>
      </c>
    </row>
    <row r="40" spans="1:1" ht="18">
      <c r="A40" s="8">
        <v>0.91</v>
      </c>
    </row>
    <row r="41" spans="1:1" ht="18">
      <c r="A41" s="8">
        <v>0.91</v>
      </c>
    </row>
    <row r="42" spans="1:1" ht="18">
      <c r="A42" s="8">
        <v>0.91</v>
      </c>
    </row>
    <row r="43" spans="1:1" ht="18">
      <c r="A43" s="8">
        <v>1.1299999999999999</v>
      </c>
    </row>
    <row r="44" spans="1:1" ht="18">
      <c r="A44" s="8">
        <v>1.1299999999999999</v>
      </c>
    </row>
    <row r="45" spans="1:1" ht="18">
      <c r="A45" s="8">
        <v>1.1299999999999999</v>
      </c>
    </row>
    <row r="46" spans="1:1" ht="18">
      <c r="A46" s="8">
        <v>1.1299999999999999</v>
      </c>
    </row>
    <row r="47" spans="1:1" ht="18">
      <c r="A47" s="8">
        <v>1.1299999999999999</v>
      </c>
    </row>
    <row r="48" spans="1:1" ht="18">
      <c r="A48" s="8">
        <v>1.1299999999999999</v>
      </c>
    </row>
    <row r="49" spans="1:1" ht="18">
      <c r="A49" s="8">
        <v>1.1299999999999999</v>
      </c>
    </row>
    <row r="50" spans="1:1" ht="18">
      <c r="A50" s="8">
        <v>1.1299999999999999</v>
      </c>
    </row>
    <row r="51" spans="1:1" ht="18">
      <c r="A51" s="8">
        <v>0.91</v>
      </c>
    </row>
    <row r="52" spans="1:1" ht="18">
      <c r="A52" s="8">
        <v>0.91</v>
      </c>
    </row>
    <row r="53" spans="1:1" ht="18">
      <c r="A53" s="8">
        <v>0.91</v>
      </c>
    </row>
    <row r="54" spans="1:1" ht="18">
      <c r="A54" s="8">
        <v>0.91</v>
      </c>
    </row>
    <row r="55" spans="1:1" ht="18">
      <c r="A55" s="8">
        <v>0.91</v>
      </c>
    </row>
    <row r="56" spans="1:1" ht="18">
      <c r="A56" s="8">
        <v>0.91</v>
      </c>
    </row>
    <row r="57" spans="1:1" ht="18">
      <c r="A57" s="8">
        <v>0.91</v>
      </c>
    </row>
    <row r="58" spans="1:1" ht="18">
      <c r="A58" s="8">
        <v>0.91</v>
      </c>
    </row>
    <row r="59" spans="1:1" ht="18">
      <c r="A59" s="8">
        <v>0.91</v>
      </c>
    </row>
    <row r="60" spans="1:1" ht="18">
      <c r="A60" s="8">
        <v>1.1299999999999999</v>
      </c>
    </row>
    <row r="61" spans="1:1" ht="18">
      <c r="A61" s="8">
        <v>1.1299999999999999</v>
      </c>
    </row>
    <row r="62" spans="1:1" ht="18">
      <c r="A62" s="8">
        <v>1.1299999999999999</v>
      </c>
    </row>
    <row r="63" spans="1:1" ht="18">
      <c r="A63" s="8">
        <v>0.91</v>
      </c>
    </row>
    <row r="64" spans="1:1" ht="18">
      <c r="A64" s="8">
        <v>0.91</v>
      </c>
    </row>
    <row r="65" spans="1:1" ht="18">
      <c r="A65" s="8">
        <v>0.91</v>
      </c>
    </row>
    <row r="66" spans="1:1" ht="18">
      <c r="A66" s="8">
        <v>0.91</v>
      </c>
    </row>
    <row r="67" spans="1:1" ht="18">
      <c r="A67" s="8">
        <v>0.91</v>
      </c>
    </row>
    <row r="68" spans="1:1" ht="18">
      <c r="A68" s="8">
        <v>0.91</v>
      </c>
    </row>
    <row r="69" spans="1:1" ht="18">
      <c r="A69" s="8">
        <v>0.91</v>
      </c>
    </row>
    <row r="70" spans="1:1" ht="18">
      <c r="A70" s="8">
        <v>0.91</v>
      </c>
    </row>
    <row r="71" spans="1:1" ht="18">
      <c r="A71" s="8">
        <v>0.91</v>
      </c>
    </row>
    <row r="72" spans="1:1" ht="18">
      <c r="A72" s="8">
        <v>0.91</v>
      </c>
    </row>
    <row r="73" spans="1:1" ht="18">
      <c r="A73" s="8">
        <v>0.91</v>
      </c>
    </row>
    <row r="74" spans="1:1" ht="18">
      <c r="A74" s="8">
        <v>0.91</v>
      </c>
    </row>
    <row r="75" spans="1:1" ht="18">
      <c r="A75" s="8">
        <v>0.91</v>
      </c>
    </row>
    <row r="76" spans="1:1" ht="18">
      <c r="A76" s="8">
        <v>0.91</v>
      </c>
    </row>
    <row r="77" spans="1:1" ht="18">
      <c r="A77" s="8">
        <v>1.1299999999999999</v>
      </c>
    </row>
    <row r="78" spans="1:1" ht="18">
      <c r="A78" s="8">
        <v>1.1299999999999999</v>
      </c>
    </row>
    <row r="79" spans="1:1" ht="18">
      <c r="A79" s="8">
        <v>1.1299999999999999</v>
      </c>
    </row>
    <row r="80" spans="1:1" ht="18">
      <c r="A80" s="8">
        <v>1.1299999999999999</v>
      </c>
    </row>
    <row r="81" spans="1:1" ht="18">
      <c r="A81" s="8">
        <v>1.1299999999999999</v>
      </c>
    </row>
    <row r="82" spans="1:1" ht="18">
      <c r="A82" s="8">
        <v>1.1299999999999999</v>
      </c>
    </row>
    <row r="83" spans="1:1" ht="18">
      <c r="A83" s="8">
        <v>1.1299999999999999</v>
      </c>
    </row>
    <row r="84" spans="1:1" ht="18">
      <c r="A84" s="8">
        <v>1.1299999999999999</v>
      </c>
    </row>
    <row r="85" spans="1:1" ht="18">
      <c r="A85" s="8">
        <v>1.1299999999999999</v>
      </c>
    </row>
    <row r="86" spans="1:1" ht="18">
      <c r="A86" s="8">
        <v>1.1299999999999999</v>
      </c>
    </row>
    <row r="87" spans="1:1" ht="18">
      <c r="A87" s="8">
        <v>1.1299999999999999</v>
      </c>
    </row>
    <row r="88" spans="1:1" ht="18">
      <c r="A88" s="8">
        <v>1.1299999999999999</v>
      </c>
    </row>
    <row r="89" spans="1:1" ht="18">
      <c r="A89" s="8">
        <v>1.1299999999999999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D1E0-3A17-41BD-A6B2-5F10C0735006}">
  <dimension ref="A1:A90"/>
  <sheetViews>
    <sheetView workbookViewId="0">
      <selection sqref="A1:A1048576"/>
    </sheetView>
  </sheetViews>
  <sheetFormatPr defaultRowHeight="14.4"/>
  <cols>
    <col min="1" max="1" width="16.44140625" bestFit="1" customWidth="1"/>
  </cols>
  <sheetData>
    <row r="1" spans="1:1" ht="17.399999999999999">
      <c r="A1" s="10" t="s">
        <v>7</v>
      </c>
    </row>
    <row r="2" spans="1:1" ht="18">
      <c r="A2" s="5" t="s">
        <v>13</v>
      </c>
    </row>
    <row r="3" spans="1:1" ht="18">
      <c r="A3" s="5" t="s">
        <v>15</v>
      </c>
    </row>
    <row r="4" spans="1:1" ht="18">
      <c r="A4" s="5" t="s">
        <v>15</v>
      </c>
    </row>
    <row r="5" spans="1:1" ht="18">
      <c r="A5" s="5" t="s">
        <v>15</v>
      </c>
    </row>
    <row r="6" spans="1:1" ht="18">
      <c r="A6" s="5" t="s">
        <v>18</v>
      </c>
    </row>
    <row r="7" spans="1:1" ht="18">
      <c r="A7" s="5" t="s">
        <v>18</v>
      </c>
    </row>
    <row r="8" spans="1:1" ht="18">
      <c r="A8" s="5" t="s">
        <v>18</v>
      </c>
    </row>
    <row r="9" spans="1:1" ht="18">
      <c r="A9" s="5" t="s">
        <v>18</v>
      </c>
    </row>
    <row r="10" spans="1:1" ht="18">
      <c r="A10" s="5" t="s">
        <v>22</v>
      </c>
    </row>
    <row r="11" spans="1:1" ht="18">
      <c r="A11" s="5" t="s">
        <v>22</v>
      </c>
    </row>
    <row r="12" spans="1:1" ht="18">
      <c r="A12" s="5" t="s">
        <v>22</v>
      </c>
    </row>
    <row r="13" spans="1:1" ht="18">
      <c r="A13" s="5" t="s">
        <v>26</v>
      </c>
    </row>
    <row r="14" spans="1:1" ht="18">
      <c r="A14" s="5" t="s">
        <v>28</v>
      </c>
    </row>
    <row r="15" spans="1:1" ht="18">
      <c r="A15" s="5" t="s">
        <v>29</v>
      </c>
    </row>
    <row r="16" spans="1:1" ht="18">
      <c r="A16" s="5" t="s">
        <v>30</v>
      </c>
    </row>
    <row r="17" spans="1:1" ht="18">
      <c r="A17" s="5" t="s">
        <v>26</v>
      </c>
    </row>
    <row r="18" spans="1:1" ht="18">
      <c r="A18" s="5" t="s">
        <v>28</v>
      </c>
    </row>
    <row r="19" spans="1:1" ht="18">
      <c r="A19" s="5" t="s">
        <v>28</v>
      </c>
    </row>
    <row r="20" spans="1:1" ht="18">
      <c r="A20" s="5" t="s">
        <v>28</v>
      </c>
    </row>
    <row r="21" spans="1:1" ht="18">
      <c r="A21" s="5" t="s">
        <v>28</v>
      </c>
    </row>
    <row r="22" spans="1:1" ht="18">
      <c r="A22" s="5" t="s">
        <v>28</v>
      </c>
    </row>
    <row r="23" spans="1:1" ht="18">
      <c r="A23" s="5" t="s">
        <v>13</v>
      </c>
    </row>
    <row r="24" spans="1:1" ht="18">
      <c r="A24" s="5" t="s">
        <v>13</v>
      </c>
    </row>
    <row r="25" spans="1:1" ht="18">
      <c r="A25" s="5" t="s">
        <v>13</v>
      </c>
    </row>
    <row r="26" spans="1:1" ht="18">
      <c r="A26" s="5" t="s">
        <v>13</v>
      </c>
    </row>
    <row r="27" spans="1:1" ht="18">
      <c r="A27" s="5" t="s">
        <v>18</v>
      </c>
    </row>
    <row r="28" spans="1:1" ht="18">
      <c r="A28" s="5" t="s">
        <v>18</v>
      </c>
    </row>
    <row r="29" spans="1:1" ht="18">
      <c r="A29" s="5" t="s">
        <v>18</v>
      </c>
    </row>
    <row r="30" spans="1:1" ht="18">
      <c r="A30" s="5" t="s">
        <v>28</v>
      </c>
    </row>
    <row r="31" spans="1:1" ht="18">
      <c r="A31" s="5" t="s">
        <v>28</v>
      </c>
    </row>
    <row r="32" spans="1:1" ht="18">
      <c r="A32" s="5" t="s">
        <v>28</v>
      </c>
    </row>
    <row r="33" spans="1:1" ht="18">
      <c r="A33" s="5" t="s">
        <v>29</v>
      </c>
    </row>
    <row r="34" spans="1:1" ht="18">
      <c r="A34" s="5" t="s">
        <v>29</v>
      </c>
    </row>
    <row r="35" spans="1:1" ht="18">
      <c r="A35" s="5" t="s">
        <v>29</v>
      </c>
    </row>
    <row r="36" spans="1:1" ht="18">
      <c r="A36" s="5" t="s">
        <v>29</v>
      </c>
    </row>
    <row r="37" spans="1:1" ht="18">
      <c r="A37" s="5" t="s">
        <v>29</v>
      </c>
    </row>
    <row r="38" spans="1:1" ht="18">
      <c r="A38" s="5" t="s">
        <v>29</v>
      </c>
    </row>
    <row r="39" spans="1:1" ht="18">
      <c r="A39" s="5" t="s">
        <v>26</v>
      </c>
    </row>
    <row r="40" spans="1:1" ht="18">
      <c r="A40" s="5" t="s">
        <v>30</v>
      </c>
    </row>
    <row r="41" spans="1:1" ht="18">
      <c r="A41" s="5" t="s">
        <v>26</v>
      </c>
    </row>
    <row r="42" spans="1:1" ht="18">
      <c r="A42" s="5" t="s">
        <v>30</v>
      </c>
    </row>
    <row r="43" spans="1:1" ht="18">
      <c r="A43" s="5" t="s">
        <v>45</v>
      </c>
    </row>
    <row r="44" spans="1:1" ht="18">
      <c r="A44" s="5" t="s">
        <v>45</v>
      </c>
    </row>
    <row r="45" spans="1:1" ht="18">
      <c r="A45" s="5" t="s">
        <v>45</v>
      </c>
    </row>
    <row r="46" spans="1:1" ht="18">
      <c r="A46" s="5" t="s">
        <v>13</v>
      </c>
    </row>
    <row r="47" spans="1:1" ht="18">
      <c r="A47" s="5" t="s">
        <v>13</v>
      </c>
    </row>
    <row r="48" spans="1:1" ht="18">
      <c r="A48" s="5" t="s">
        <v>13</v>
      </c>
    </row>
    <row r="49" spans="1:1" ht="18">
      <c r="A49" s="5" t="s">
        <v>13</v>
      </c>
    </row>
    <row r="50" spans="1:1" ht="18">
      <c r="A50" s="5" t="s">
        <v>13</v>
      </c>
    </row>
    <row r="51" spans="1:1" ht="18">
      <c r="A51" s="5" t="s">
        <v>29</v>
      </c>
    </row>
    <row r="52" spans="1:1" ht="18">
      <c r="A52" s="5" t="s">
        <v>13</v>
      </c>
    </row>
    <row r="53" spans="1:1" ht="18">
      <c r="A53" s="5" t="s">
        <v>26</v>
      </c>
    </row>
    <row r="54" spans="1:1" ht="18">
      <c r="A54" s="5" t="s">
        <v>51</v>
      </c>
    </row>
    <row r="55" spans="1:1" ht="18">
      <c r="A55" s="5" t="s">
        <v>45</v>
      </c>
    </row>
    <row r="56" spans="1:1" ht="18">
      <c r="A56" s="5" t="s">
        <v>22</v>
      </c>
    </row>
    <row r="57" spans="1:1" ht="18">
      <c r="A57" s="5" t="s">
        <v>30</v>
      </c>
    </row>
    <row r="58" spans="1:1" ht="18">
      <c r="A58" s="5" t="s">
        <v>28</v>
      </c>
    </row>
    <row r="59" spans="1:1" ht="18">
      <c r="A59" s="5" t="s">
        <v>18</v>
      </c>
    </row>
    <row r="60" spans="1:1" ht="18">
      <c r="A60" s="5" t="s">
        <v>13</v>
      </c>
    </row>
    <row r="61" spans="1:1" ht="18">
      <c r="A61" s="5" t="s">
        <v>13</v>
      </c>
    </row>
    <row r="62" spans="1:1" ht="18">
      <c r="A62" s="5" t="s">
        <v>13</v>
      </c>
    </row>
    <row r="63" spans="1:1" ht="18">
      <c r="A63" s="5" t="s">
        <v>18</v>
      </c>
    </row>
    <row r="64" spans="1:1" ht="18">
      <c r="A64" s="5" t="s">
        <v>18</v>
      </c>
    </row>
    <row r="65" spans="1:1" ht="18">
      <c r="A65" s="5" t="s">
        <v>18</v>
      </c>
    </row>
    <row r="66" spans="1:1" ht="18">
      <c r="A66" s="5" t="s">
        <v>13</v>
      </c>
    </row>
    <row r="67" spans="1:1" ht="18">
      <c r="A67" s="5" t="s">
        <v>13</v>
      </c>
    </row>
    <row r="68" spans="1:1" ht="18">
      <c r="A68" s="5" t="s">
        <v>13</v>
      </c>
    </row>
    <row r="69" spans="1:1" ht="18">
      <c r="A69" s="5" t="s">
        <v>29</v>
      </c>
    </row>
    <row r="70" spans="1:1" ht="18">
      <c r="A70" s="5" t="s">
        <v>29</v>
      </c>
    </row>
    <row r="71" spans="1:1" ht="18">
      <c r="A71" s="5" t="s">
        <v>29</v>
      </c>
    </row>
    <row r="72" spans="1:1" ht="18">
      <c r="A72" s="5" t="s">
        <v>22</v>
      </c>
    </row>
    <row r="73" spans="1:1" ht="18">
      <c r="A73" s="5" t="s">
        <v>22</v>
      </c>
    </row>
    <row r="74" spans="1:1" ht="18">
      <c r="A74" s="5" t="s">
        <v>26</v>
      </c>
    </row>
    <row r="75" spans="1:1" ht="18">
      <c r="A75" s="5" t="s">
        <v>28</v>
      </c>
    </row>
    <row r="76" spans="1:1" ht="18">
      <c r="A76" s="5" t="s">
        <v>28</v>
      </c>
    </row>
    <row r="77" spans="1:1" ht="18">
      <c r="A77" s="5" t="s">
        <v>13</v>
      </c>
    </row>
    <row r="78" spans="1:1" ht="18">
      <c r="A78" s="5" t="s">
        <v>13</v>
      </c>
    </row>
    <row r="79" spans="1:1" ht="18">
      <c r="A79" s="5" t="s">
        <v>13</v>
      </c>
    </row>
    <row r="80" spans="1:1" ht="18">
      <c r="A80" s="5" t="s">
        <v>51</v>
      </c>
    </row>
    <row r="81" spans="1:1" ht="18">
      <c r="A81" s="5" t="s">
        <v>26</v>
      </c>
    </row>
    <row r="82" spans="1:1" ht="18">
      <c r="A82" s="5" t="s">
        <v>30</v>
      </c>
    </row>
    <row r="83" spans="1:1" ht="18">
      <c r="A83" s="5" t="s">
        <v>18</v>
      </c>
    </row>
    <row r="84" spans="1:1" ht="18">
      <c r="A84" s="5" t="s">
        <v>22</v>
      </c>
    </row>
    <row r="85" spans="1:1" ht="18">
      <c r="A85" s="5" t="s">
        <v>28</v>
      </c>
    </row>
    <row r="86" spans="1:1" ht="18">
      <c r="A86" s="5" t="s">
        <v>29</v>
      </c>
    </row>
    <row r="87" spans="1:1" ht="18">
      <c r="A87" s="5" t="s">
        <v>63</v>
      </c>
    </row>
    <row r="88" spans="1:1" ht="18">
      <c r="A88" s="5" t="s">
        <v>18</v>
      </c>
    </row>
    <row r="89" spans="1:1" ht="18">
      <c r="A89" s="5" t="s">
        <v>13</v>
      </c>
    </row>
    <row r="90" spans="1:1" ht="18">
      <c r="A90" s="8"/>
    </row>
  </sheetData>
  <hyperlinks>
    <hyperlink ref="A2" r:id="rId1" xr:uid="{3FC88044-3544-4691-B387-04356C831229}"/>
    <hyperlink ref="A3" r:id="rId2" xr:uid="{5F9877BB-0C10-4084-840D-501F79629C90}"/>
    <hyperlink ref="A4" r:id="rId3" xr:uid="{C57788B2-0F4C-4494-84B7-9D9DA23983C4}"/>
    <hyperlink ref="A5" r:id="rId4" xr:uid="{1A1F6726-2BD3-4A98-9B90-4C2D319E71AD}"/>
    <hyperlink ref="A6" r:id="rId5" xr:uid="{80A7A3AC-6ED8-4FAF-A204-9714FA30FF10}"/>
    <hyperlink ref="A7" r:id="rId6" xr:uid="{46AFC64D-BED3-4D32-A822-45142325A3DC}"/>
    <hyperlink ref="A8" r:id="rId7" xr:uid="{494BD8EC-130E-4F81-A7DA-F32F0CA2F937}"/>
    <hyperlink ref="A9" r:id="rId8" xr:uid="{935F8858-4A59-4DB3-9118-C101D2D1D8D5}"/>
    <hyperlink ref="A10" r:id="rId9" xr:uid="{69A8FEF4-7383-444C-B75C-F70C09F8FB62}"/>
    <hyperlink ref="A11" r:id="rId10" xr:uid="{71C24073-2504-4B08-8F9F-FA73BA0CE264}"/>
    <hyperlink ref="A12" r:id="rId11" xr:uid="{8998CD96-615E-4749-BE18-BE0A4A3B7C62}"/>
    <hyperlink ref="A13" r:id="rId12" xr:uid="{6C8BB2F0-A65D-4058-BB09-A1729F6A1774}"/>
    <hyperlink ref="A14" r:id="rId13" xr:uid="{F60C2C4D-B744-4100-9D79-AFD92BBB68A2}"/>
    <hyperlink ref="A15" r:id="rId14" xr:uid="{57E16D0E-EB4F-4F59-B8AC-0001EA9582F7}"/>
    <hyperlink ref="A16" r:id="rId15" xr:uid="{250A99A0-D1E1-49AD-AEEC-7937B84DB297}"/>
    <hyperlink ref="A17" r:id="rId16" xr:uid="{129820E1-6713-4F12-BC79-B84EB4711BAC}"/>
    <hyperlink ref="A18" r:id="rId17" xr:uid="{950DB637-35FF-4835-A58D-B335594BD5DC}"/>
    <hyperlink ref="A19" r:id="rId18" xr:uid="{9E499560-7B12-4EBD-9820-2DEA141F43AB}"/>
    <hyperlink ref="A20" r:id="rId19" xr:uid="{4A8601E0-F690-4031-B035-7E3D27798678}"/>
    <hyperlink ref="A21" r:id="rId20" xr:uid="{D9AC4E3C-964F-44B6-9757-E3E94879F729}"/>
    <hyperlink ref="A22" r:id="rId21" xr:uid="{7953A9A2-7AAB-4D93-BA40-8957389E5E60}"/>
    <hyperlink ref="A23" r:id="rId22" xr:uid="{AFCA61C0-B2A0-427D-8594-B6797D15755A}"/>
    <hyperlink ref="A24" r:id="rId23" xr:uid="{12B3692A-6EBC-4C9C-B33C-0C17D133B277}"/>
    <hyperlink ref="A25" r:id="rId24" xr:uid="{909E28FD-B7F6-4EE5-B8EB-098F2D14D2EC}"/>
    <hyperlink ref="A26" r:id="rId25" xr:uid="{5CE9214F-BFDB-46D8-A26E-C32F1FF4A5CF}"/>
    <hyperlink ref="A27" r:id="rId26" xr:uid="{29C43D36-B60C-4C93-990E-A3CA1C818FCE}"/>
    <hyperlink ref="A28" r:id="rId27" xr:uid="{3257FB04-82AB-4A73-A262-F99D2D912442}"/>
    <hyperlink ref="A29" r:id="rId28" xr:uid="{EB2C8E0E-993B-462D-AEA5-EC8135851ED2}"/>
    <hyperlink ref="A30" r:id="rId29" xr:uid="{A334A813-3779-44A2-99DC-033DA93500C4}"/>
    <hyperlink ref="A31" r:id="rId30" xr:uid="{B36D07C2-C4DE-40B1-84DB-80617E49B256}"/>
    <hyperlink ref="A32" r:id="rId31" xr:uid="{F68CB82C-A3E8-41A2-96FF-087AEA63C110}"/>
    <hyperlink ref="A33" r:id="rId32" xr:uid="{E72308F7-A479-46E5-A47A-1924F84BBCCC}"/>
    <hyperlink ref="A34" r:id="rId33" xr:uid="{7F6E015E-EBBC-4E08-9558-74B48F5C4DC2}"/>
    <hyperlink ref="A35" r:id="rId34" xr:uid="{15776C53-065E-42A1-B4B9-C7092E90259C}"/>
    <hyperlink ref="A36" r:id="rId35" xr:uid="{3FB81D0B-0C53-4D4C-80B1-9D85EE48CF08}"/>
    <hyperlink ref="A37" r:id="rId36" xr:uid="{E74FDC56-40A7-4DE8-8553-5D0055D783B4}"/>
    <hyperlink ref="A38" r:id="rId37" xr:uid="{75B098D4-8FAC-4AD3-B0CB-23C0F455C00D}"/>
    <hyperlink ref="A39" r:id="rId38" xr:uid="{99192BD3-1A09-4384-920E-253519387038}"/>
    <hyperlink ref="A40" r:id="rId39" xr:uid="{65D2DD1C-F217-4A7B-B077-23EA518FC562}"/>
    <hyperlink ref="A41" r:id="rId40" xr:uid="{51E65A50-7D60-4B58-A61C-E813CC4A7D29}"/>
    <hyperlink ref="A42" r:id="rId41" xr:uid="{60479395-37F6-4E2E-94B4-FE9B19AD0EA7}"/>
    <hyperlink ref="A43" r:id="rId42" xr:uid="{35B8E6D5-EA63-41EA-9573-8BB1838ADE64}"/>
    <hyperlink ref="A44" r:id="rId43" xr:uid="{2DA789FC-276D-4CB4-9D82-F533F26FD7F5}"/>
    <hyperlink ref="A45" r:id="rId44" xr:uid="{B3C44723-2824-4294-9CA3-876C65BC8912}"/>
    <hyperlink ref="A46" r:id="rId45" xr:uid="{E57FEB8C-7A08-4131-99DB-C8C50D047960}"/>
    <hyperlink ref="A47" r:id="rId46" xr:uid="{97168511-3987-41CE-A399-67DBA448085C}"/>
    <hyperlink ref="A48" r:id="rId47" xr:uid="{35197BE2-E1BB-408D-89F2-28CC9835787E}"/>
    <hyperlink ref="A49" r:id="rId48" xr:uid="{B8B41CE8-4AC0-4E81-9EFC-19AEA4EB470E}"/>
    <hyperlink ref="A50" r:id="rId49" xr:uid="{63A8ACE1-ED15-45CB-AE6D-665E0ECB7C8F}"/>
    <hyperlink ref="A51" r:id="rId50" xr:uid="{F2B86FF1-F6C4-4183-9991-140501093A93}"/>
    <hyperlink ref="A52" r:id="rId51" xr:uid="{78017CA6-1C06-4409-B754-6D1FD9097109}"/>
    <hyperlink ref="A53" r:id="rId52" xr:uid="{C92D2527-3601-4543-B330-5A2E44C44AC6}"/>
    <hyperlink ref="A54" r:id="rId53" xr:uid="{9D000B11-34E9-4105-9CEE-4ABFAE0CA8E1}"/>
    <hyperlink ref="A55" r:id="rId54" xr:uid="{C497CC53-C664-41B1-8594-F72A83BB6F55}"/>
    <hyperlink ref="A56" r:id="rId55" xr:uid="{97F78605-2755-487D-8130-91ABF79DEFA9}"/>
    <hyperlink ref="A57" r:id="rId56" xr:uid="{515578E9-279A-4A5C-BA54-0630FD956A22}"/>
    <hyperlink ref="A58" r:id="rId57" xr:uid="{2DE71788-60BC-45DF-9B5B-0F832EECC6DA}"/>
    <hyperlink ref="A59" r:id="rId58" xr:uid="{CBFC6AE3-E4F9-406F-87DF-7DDD03BEAA17}"/>
    <hyperlink ref="A60" r:id="rId59" xr:uid="{F71E95CA-F442-4345-BBA6-FC25D16D4E25}"/>
    <hyperlink ref="A61" r:id="rId60" xr:uid="{0B3F66E2-A1FF-46A6-909A-04F8082F71F2}"/>
    <hyperlink ref="A62" r:id="rId61" xr:uid="{A758B643-697A-4384-B48B-4A3177D76FF6}"/>
    <hyperlink ref="A63" r:id="rId62" xr:uid="{EAF14CD9-3AED-482E-8328-21CA1BB0135B}"/>
    <hyperlink ref="A64" r:id="rId63" xr:uid="{23E6C99A-9DED-4D83-A6BA-8AA6208813F1}"/>
    <hyperlink ref="A65" r:id="rId64" xr:uid="{A2154361-7042-4FF9-8D8C-095D0F36118F}"/>
    <hyperlink ref="A66" r:id="rId65" xr:uid="{4C8AFD67-B3D3-4A9A-AD96-06DCF1B375F8}"/>
    <hyperlink ref="A67" r:id="rId66" xr:uid="{ACFCE0BC-7840-49D1-83B7-1F6DB08C222E}"/>
    <hyperlink ref="A68" r:id="rId67" xr:uid="{E65C6CCB-4FB0-4263-9EEA-88B143602408}"/>
    <hyperlink ref="A69" r:id="rId68" xr:uid="{19B7DC93-CF23-4C48-9AAF-1016CF16C5CD}"/>
    <hyperlink ref="A70" r:id="rId69" xr:uid="{A5A18AAD-E722-4B20-BECE-FBB49409C779}"/>
    <hyperlink ref="A71" r:id="rId70" xr:uid="{61E314DE-3533-40CE-9148-B2D1E02548BE}"/>
    <hyperlink ref="A72" r:id="rId71" xr:uid="{05375EB6-DD23-40F9-B7F8-478AB2C726A2}"/>
    <hyperlink ref="A73" r:id="rId72" xr:uid="{2982120E-0337-4C4E-AF00-60271BE2AB77}"/>
    <hyperlink ref="A74" r:id="rId73" xr:uid="{3112EA58-87CE-419A-8DD1-ABF014891C84}"/>
    <hyperlink ref="A75" r:id="rId74" xr:uid="{7DDAF001-DBB7-4E93-986E-89DB145C4E23}"/>
    <hyperlink ref="A76" r:id="rId75" xr:uid="{6457A980-17FE-413D-9EBA-6FA914B50A3C}"/>
    <hyperlink ref="A77" r:id="rId76" xr:uid="{A1457B5D-8EE4-4A87-A2E1-A7882C5F4D05}"/>
    <hyperlink ref="A78" r:id="rId77" xr:uid="{01352DC2-3976-4653-9AF9-9B71DB28567D}"/>
    <hyperlink ref="A79" r:id="rId78" xr:uid="{0793B717-3741-4F8C-B6BF-76EF819C10DF}"/>
    <hyperlink ref="A80" r:id="rId79" xr:uid="{D41712B6-1109-44C6-A0B4-C7F7FC78BBDC}"/>
    <hyperlink ref="A81" r:id="rId80" xr:uid="{D9AB3DB4-0997-4532-9A4A-8EEEC9DF73BE}"/>
    <hyperlink ref="A82" r:id="rId81" xr:uid="{63C8F559-C814-476C-A42E-58BF14264B91}"/>
    <hyperlink ref="A83" r:id="rId82" xr:uid="{F734EE6B-9C35-4824-8975-05E5F38351C7}"/>
    <hyperlink ref="A84" r:id="rId83" xr:uid="{B349A75E-4B8A-43A0-89FA-CF2200BFABB1}"/>
    <hyperlink ref="A85" r:id="rId84" xr:uid="{60368813-BB14-49C8-BE94-208FABD0B282}"/>
    <hyperlink ref="A86" r:id="rId85" xr:uid="{52E3CBB8-2FEE-41E5-9D30-BA465198F31E}"/>
    <hyperlink ref="A87" r:id="rId86" xr:uid="{CEAFF5B6-55AD-4341-A93B-ED14A8BA7D82}"/>
    <hyperlink ref="A88" r:id="rId87" xr:uid="{C207B574-26C7-4925-AFA9-2F37BE275FF0}"/>
    <hyperlink ref="A89" r:id="rId88" xr:uid="{E6BBD803-08A1-44AD-B095-3BA994E65A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8FC9-0CEA-4DDC-8051-9B53D1434C30}">
  <dimension ref="A1:P12"/>
  <sheetViews>
    <sheetView workbookViewId="0">
      <selection activeCell="B1" sqref="B1"/>
    </sheetView>
  </sheetViews>
  <sheetFormatPr defaultRowHeight="14.4"/>
  <cols>
    <col min="1" max="1" width="11.5546875" bestFit="1" customWidth="1"/>
    <col min="2" max="2" width="11.5546875" customWidth="1"/>
    <col min="3" max="3" width="17.21875" bestFit="1" customWidth="1"/>
    <col min="4" max="4" width="9.6640625" bestFit="1" customWidth="1"/>
    <col min="11" max="11" width="8.77734375" customWidth="1"/>
    <col min="17" max="17" width="17.21875" bestFit="1" customWidth="1"/>
  </cols>
  <sheetData>
    <row r="1" spans="1:16">
      <c r="A1" s="17" t="s">
        <v>70</v>
      </c>
      <c r="B1" s="19" t="s">
        <v>107</v>
      </c>
      <c r="C1" s="15" t="s">
        <v>78</v>
      </c>
      <c r="D1" s="17" t="s">
        <v>71</v>
      </c>
      <c r="E1" s="17" t="s">
        <v>72</v>
      </c>
      <c r="F1" s="17" t="s">
        <v>6</v>
      </c>
      <c r="G1" s="17" t="s">
        <v>0</v>
      </c>
      <c r="H1" s="17" t="s">
        <v>1</v>
      </c>
      <c r="I1" s="17" t="s">
        <v>2</v>
      </c>
      <c r="J1" s="17" t="s">
        <v>3</v>
      </c>
      <c r="K1" s="17" t="s">
        <v>73</v>
      </c>
      <c r="L1" s="17" t="s">
        <v>74</v>
      </c>
      <c r="M1" s="17" t="s">
        <v>4</v>
      </c>
      <c r="N1" s="17" t="s">
        <v>75</v>
      </c>
      <c r="O1" s="17" t="s">
        <v>76</v>
      </c>
      <c r="P1" s="17" t="s">
        <v>77</v>
      </c>
    </row>
    <row r="2" spans="1:16">
      <c r="A2" s="14" t="s">
        <v>79</v>
      </c>
      <c r="B2" s="14">
        <v>0.99</v>
      </c>
      <c r="C2" s="14">
        <v>0.55000000000000004</v>
      </c>
      <c r="D2" s="14" t="s">
        <v>80</v>
      </c>
      <c r="E2" s="14">
        <v>2</v>
      </c>
      <c r="F2" s="14">
        <v>2</v>
      </c>
      <c r="G2" s="14">
        <v>20</v>
      </c>
      <c r="H2" s="14">
        <v>1</v>
      </c>
      <c r="I2" s="14">
        <v>78</v>
      </c>
      <c r="J2" s="14">
        <v>6</v>
      </c>
      <c r="K2" s="18">
        <v>14336</v>
      </c>
      <c r="L2" s="14">
        <v>13</v>
      </c>
      <c r="M2" s="14">
        <v>3.9</v>
      </c>
      <c r="N2" s="14">
        <v>20</v>
      </c>
      <c r="O2" s="14">
        <v>1</v>
      </c>
      <c r="P2" s="14">
        <v>0</v>
      </c>
    </row>
    <row r="3" spans="1:16">
      <c r="A3" s="14" t="s">
        <v>81</v>
      </c>
      <c r="B3" s="14">
        <v>1.24</v>
      </c>
      <c r="C3" s="14">
        <v>1.45</v>
      </c>
      <c r="D3" s="14" t="s">
        <v>82</v>
      </c>
      <c r="E3" s="14">
        <v>21</v>
      </c>
      <c r="F3" s="14">
        <v>21</v>
      </c>
      <c r="G3" s="14">
        <v>194.3</v>
      </c>
      <c r="H3" s="14">
        <v>11</v>
      </c>
      <c r="I3" s="14">
        <v>1024</v>
      </c>
      <c r="J3" s="14">
        <v>30</v>
      </c>
      <c r="K3" s="18">
        <v>22341</v>
      </c>
      <c r="L3" s="14">
        <v>34.130000000000003</v>
      </c>
      <c r="M3" s="14">
        <v>5.26</v>
      </c>
      <c r="N3" s="14">
        <v>38.9</v>
      </c>
      <c r="O3" s="14">
        <v>0</v>
      </c>
      <c r="P3" s="14">
        <v>0</v>
      </c>
    </row>
    <row r="4" spans="1:16">
      <c r="A4" s="14" t="s">
        <v>83</v>
      </c>
      <c r="B4" s="14">
        <v>1.07</v>
      </c>
      <c r="C4" s="14">
        <v>0.75</v>
      </c>
      <c r="D4" s="14" t="s">
        <v>84</v>
      </c>
      <c r="E4" s="14">
        <v>5</v>
      </c>
      <c r="F4" s="14">
        <v>5</v>
      </c>
      <c r="G4" s="14">
        <v>47.4</v>
      </c>
      <c r="H4" s="14">
        <v>4</v>
      </c>
      <c r="I4" s="14">
        <v>211</v>
      </c>
      <c r="J4" s="14">
        <v>12</v>
      </c>
      <c r="K4" s="18">
        <v>20180</v>
      </c>
      <c r="L4" s="14">
        <v>17.579999999999998</v>
      </c>
      <c r="M4" s="14">
        <v>4.42</v>
      </c>
      <c r="N4" s="14">
        <v>23.8</v>
      </c>
      <c r="O4" s="14">
        <v>1</v>
      </c>
      <c r="P4" s="14">
        <v>0</v>
      </c>
    </row>
    <row r="5" spans="1:16">
      <c r="A5" s="14" t="s">
        <v>85</v>
      </c>
      <c r="B5" s="14">
        <v>1.35</v>
      </c>
      <c r="C5" s="14">
        <v>0.93</v>
      </c>
      <c r="D5" s="14" t="s">
        <v>84</v>
      </c>
      <c r="E5" s="14">
        <v>7</v>
      </c>
      <c r="F5" s="14">
        <v>7</v>
      </c>
      <c r="G5" s="14">
        <v>63.1</v>
      </c>
      <c r="H5" s="14">
        <v>7</v>
      </c>
      <c r="I5" s="14">
        <v>372</v>
      </c>
      <c r="J5" s="14">
        <v>17</v>
      </c>
      <c r="K5" s="18">
        <v>43617</v>
      </c>
      <c r="L5" s="14">
        <v>21.88</v>
      </c>
      <c r="M5" s="14">
        <v>5.88</v>
      </c>
      <c r="N5" s="14">
        <v>22.2</v>
      </c>
      <c r="O5" s="14">
        <v>0</v>
      </c>
      <c r="P5" s="14">
        <v>1</v>
      </c>
    </row>
    <row r="6" spans="1:16">
      <c r="A6" s="14" t="s">
        <v>86</v>
      </c>
      <c r="B6" s="14">
        <v>0.84</v>
      </c>
      <c r="C6" s="14">
        <v>0.7</v>
      </c>
      <c r="D6" s="14" t="s">
        <v>87</v>
      </c>
      <c r="E6" s="14">
        <v>1</v>
      </c>
      <c r="F6" s="14">
        <v>1</v>
      </c>
      <c r="G6" s="14">
        <v>9</v>
      </c>
      <c r="H6" s="14">
        <v>1</v>
      </c>
      <c r="I6" s="14">
        <v>33</v>
      </c>
      <c r="J6" s="14">
        <v>2</v>
      </c>
      <c r="K6" s="18">
        <v>12086</v>
      </c>
      <c r="L6" s="14">
        <v>16.5</v>
      </c>
      <c r="M6" s="14">
        <v>3.66</v>
      </c>
      <c r="N6" s="14">
        <v>27</v>
      </c>
      <c r="O6" s="14">
        <v>0</v>
      </c>
      <c r="P6" s="14">
        <v>0</v>
      </c>
    </row>
    <row r="7" spans="1:16">
      <c r="A7" s="14" t="s">
        <v>88</v>
      </c>
      <c r="B7" s="14">
        <v>1.1499999999999999</v>
      </c>
      <c r="C7" s="14">
        <v>1.66</v>
      </c>
      <c r="D7" s="14" t="s">
        <v>82</v>
      </c>
      <c r="E7" s="14">
        <v>13</v>
      </c>
      <c r="F7" s="14">
        <v>13</v>
      </c>
      <c r="G7" s="14">
        <v>121.4</v>
      </c>
      <c r="H7" s="14">
        <v>7</v>
      </c>
      <c r="I7" s="14">
        <v>588</v>
      </c>
      <c r="J7" s="14">
        <v>15</v>
      </c>
      <c r="K7" s="18">
        <v>12844</v>
      </c>
      <c r="L7" s="14">
        <v>39.200000000000003</v>
      </c>
      <c r="M7" s="14">
        <v>4.83</v>
      </c>
      <c r="N7" s="14">
        <v>48.6</v>
      </c>
      <c r="O7" s="14">
        <v>0</v>
      </c>
      <c r="P7" s="14">
        <v>0</v>
      </c>
    </row>
    <row r="8" spans="1:16">
      <c r="A8" s="14" t="s">
        <v>89</v>
      </c>
      <c r="B8" s="14">
        <v>0.74</v>
      </c>
      <c r="C8" s="14">
        <v>1.41</v>
      </c>
      <c r="D8" s="14" t="s">
        <v>84</v>
      </c>
      <c r="E8" s="14">
        <v>8</v>
      </c>
      <c r="F8" s="14">
        <v>7</v>
      </c>
      <c r="G8" s="14">
        <v>51.1</v>
      </c>
      <c r="H8" s="14">
        <v>5</v>
      </c>
      <c r="I8" s="14">
        <v>232</v>
      </c>
      <c r="J8" s="14">
        <v>7</v>
      </c>
      <c r="K8" s="18">
        <v>43497</v>
      </c>
      <c r="L8" s="14">
        <v>33.14</v>
      </c>
      <c r="M8" s="14">
        <v>4.53</v>
      </c>
      <c r="N8" s="14">
        <v>43.8</v>
      </c>
      <c r="O8" s="14">
        <v>0</v>
      </c>
      <c r="P8" s="14">
        <v>0</v>
      </c>
    </row>
    <row r="9" spans="1:16">
      <c r="A9" s="14" t="s">
        <v>90</v>
      </c>
      <c r="B9" s="14">
        <v>0.81</v>
      </c>
      <c r="C9" s="14">
        <v>0.95</v>
      </c>
      <c r="D9" s="14" t="s">
        <v>84</v>
      </c>
      <c r="E9" s="14">
        <v>12</v>
      </c>
      <c r="F9" s="14">
        <v>12</v>
      </c>
      <c r="G9" s="14">
        <v>95</v>
      </c>
      <c r="H9" s="14">
        <v>3</v>
      </c>
      <c r="I9" s="14">
        <v>381</v>
      </c>
      <c r="J9" s="14">
        <v>17</v>
      </c>
      <c r="K9" s="18">
        <v>45323</v>
      </c>
      <c r="L9" s="14">
        <v>22.41</v>
      </c>
      <c r="M9" s="14">
        <v>4.01</v>
      </c>
      <c r="N9" s="14">
        <v>33.5</v>
      </c>
      <c r="O9" s="14">
        <v>0</v>
      </c>
      <c r="P9" s="14">
        <v>0</v>
      </c>
    </row>
    <row r="10" spans="1:16">
      <c r="A10" s="14" t="s">
        <v>91</v>
      </c>
      <c r="B10" s="14">
        <v>0.84</v>
      </c>
      <c r="C10" s="14">
        <v>0.71</v>
      </c>
      <c r="D10" s="14" t="s">
        <v>84</v>
      </c>
      <c r="E10" s="14">
        <v>13</v>
      </c>
      <c r="F10" s="14">
        <v>13</v>
      </c>
      <c r="G10" s="14">
        <v>105.2</v>
      </c>
      <c r="H10" s="14">
        <v>11</v>
      </c>
      <c r="I10" s="14">
        <v>433</v>
      </c>
      <c r="J10" s="14">
        <v>26</v>
      </c>
      <c r="K10" s="18">
        <v>46508</v>
      </c>
      <c r="L10" s="14">
        <v>16.649999999999999</v>
      </c>
      <c r="M10" s="14">
        <v>4.1100000000000003</v>
      </c>
      <c r="N10" s="14">
        <v>24.3</v>
      </c>
      <c r="O10" s="14">
        <v>1</v>
      </c>
      <c r="P10" s="14">
        <v>1</v>
      </c>
    </row>
    <row r="11" spans="1:16">
      <c r="A11" s="14" t="s">
        <v>92</v>
      </c>
      <c r="B11" s="14">
        <v>0.51</v>
      </c>
      <c r="C11" s="14">
        <v>0.42</v>
      </c>
      <c r="D11" s="14" t="s">
        <v>93</v>
      </c>
      <c r="E11" s="14">
        <v>4</v>
      </c>
      <c r="F11" s="14">
        <v>4</v>
      </c>
      <c r="G11" s="14">
        <v>30</v>
      </c>
      <c r="H11" s="14">
        <v>4</v>
      </c>
      <c r="I11" s="14">
        <v>80</v>
      </c>
      <c r="J11" s="14">
        <v>8</v>
      </c>
      <c r="K11" s="18">
        <v>12875</v>
      </c>
      <c r="L11" s="14">
        <v>10</v>
      </c>
      <c r="M11" s="14">
        <v>2.66</v>
      </c>
      <c r="N11" s="14">
        <v>22.5</v>
      </c>
      <c r="O11" s="14">
        <v>1</v>
      </c>
      <c r="P11" s="14">
        <v>0</v>
      </c>
    </row>
    <row r="12" spans="1:16">
      <c r="A12" s="14" t="s">
        <v>94</v>
      </c>
      <c r="B12" s="14">
        <v>0.65</v>
      </c>
      <c r="C12" s="14">
        <v>0.36</v>
      </c>
      <c r="D12" s="14" t="s">
        <v>95</v>
      </c>
      <c r="E12" s="14">
        <v>3</v>
      </c>
      <c r="F12" s="14">
        <v>3</v>
      </c>
      <c r="G12" s="14">
        <v>25.5</v>
      </c>
      <c r="H12" s="14">
        <v>3</v>
      </c>
      <c r="I12" s="14">
        <v>77</v>
      </c>
      <c r="J12" s="14">
        <v>9</v>
      </c>
      <c r="K12" s="18">
        <v>44652</v>
      </c>
      <c r="L12" s="14">
        <v>8.5500000000000007</v>
      </c>
      <c r="M12" s="14">
        <v>2.98</v>
      </c>
      <c r="N12" s="14">
        <v>17.2</v>
      </c>
      <c r="O12" s="14">
        <v>2</v>
      </c>
      <c r="P12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pathak</dc:creator>
  <cp:lastModifiedBy>Ekeshwar Singh</cp:lastModifiedBy>
  <dcterms:created xsi:type="dcterms:W3CDTF">2026-04-22T05:00:00Z</dcterms:created>
  <dcterms:modified xsi:type="dcterms:W3CDTF">2026-04-28T05:55:01Z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06188E761667469795121DA77FCB9FE6_12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