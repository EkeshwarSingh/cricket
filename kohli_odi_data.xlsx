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eshsar Singh\OneDrive\Desktop\New folder (3)\Virat\"/>
    </mc:Choice>
  </mc:AlternateContent>
  <xr:revisionPtr revIDLastSave="0" documentId="13_ncr:1_{652EDA80-F25C-4B5A-B02A-131726F87F58}" xr6:coauthVersionLast="47" xr6:coauthVersionMax="47" xr10:uidLastSave="{00000000-0000-0000-0000-000000000000}"/>
  <bookViews>
    <workbookView minimized="1" xWindow="7428" yWindow="2808" windowWidth="12156" windowHeight="8880" xr2:uid="{FBA3A835-0C36-4023-8D1B-F52610459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 a="1"/>
  <c r="C14" i="1" s="1"/>
  <c r="C20" i="1" l="1" a="1"/>
  <c r="C20" i="1" s="1"/>
  <c r="C21" i="1" s="1" a="1"/>
  <c r="C21" i="1" s="1"/>
  <c r="C65" i="1" l="1" a="1"/>
  <c r="C65" i="1" s="1"/>
  <c r="C135" i="1" l="1" a="1"/>
  <c r="C135" i="1" s="1"/>
  <c r="C136" i="1" l="1" a="1"/>
  <c r="C136" i="1" s="1"/>
  <c r="C183" i="1" s="1" a="1"/>
  <c r="C183" i="1" s="1"/>
  <c r="C184" i="1" l="1" a="1"/>
  <c r="C184" i="1" s="1"/>
  <c r="C177" i="1" a="1"/>
  <c r="C177" i="1" s="1"/>
  <c r="C179" i="1" a="1"/>
  <c r="C179" i="1" s="1"/>
  <c r="C182" i="1" a="1"/>
  <c r="C182" i="1" s="1"/>
  <c r="C176" i="1" a="1"/>
  <c r="C176" i="1" s="1"/>
  <c r="C181" i="1" a="1"/>
  <c r="C181" i="1" s="1"/>
  <c r="C180" i="1" a="1"/>
  <c r="C180" i="1" s="1"/>
  <c r="C178" i="1" a="1"/>
  <c r="C178" i="1" s="1"/>
  <c r="C199" i="1" l="1" a="1"/>
  <c r="C199" i="1" s="1"/>
  <c r="C200" i="1" a="1"/>
  <c r="C200" i="1" s="1"/>
  <c r="C202" i="1" s="1" a="1"/>
  <c r="C202" i="1" s="1"/>
  <c r="C204" i="1" l="1" a="1"/>
  <c r="C204" i="1" s="1"/>
  <c r="C205" i="1" a="1"/>
  <c r="C205" i="1" s="1"/>
  <c r="C209" i="1" s="1" a="1"/>
  <c r="C209" i="1" s="1"/>
  <c r="C213" i="1" l="1" a="1"/>
  <c r="C213" i="1" s="1"/>
  <c r="C214" i="1" a="1"/>
  <c r="C214" i="1" s="1"/>
  <c r="C215" i="1" a="1"/>
  <c r="C215" i="1" s="1"/>
  <c r="C217" i="1" a="1"/>
  <c r="C217" i="1" s="1"/>
  <c r="C216" i="1" a="1"/>
  <c r="C216" i="1" s="1"/>
  <c r="C232" i="1" l="1" a="1"/>
  <c r="C232" i="1" s="1"/>
  <c r="C231" i="1" a="1"/>
  <c r="C231" i="1" s="1"/>
  <c r="C233" i="1" a="1"/>
  <c r="C233" i="1" s="1"/>
  <c r="C230" i="1" a="1"/>
  <c r="C230" i="1" s="1"/>
  <c r="C234" i="1" a="1"/>
  <c r="C234" i="1" s="1"/>
  <c r="C229" i="1" a="1"/>
  <c r="C229" i="1" s="1"/>
  <c r="C241" i="1" l="1" a="1"/>
  <c r="C241" i="1" s="1"/>
  <c r="C239" i="1" a="1"/>
  <c r="C239" i="1" s="1"/>
  <c r="C243" i="1" a="1"/>
  <c r="C243" i="1" s="1"/>
  <c r="C238" i="1" a="1"/>
  <c r="C238" i="1" s="1"/>
  <c r="C242" i="1" a="1"/>
  <c r="C242" i="1" s="1"/>
  <c r="C240" i="1" a="1"/>
  <c r="C2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<sst xmlns="http://schemas.openxmlformats.org/spreadsheetml/2006/main" count="301" uniqueCount="29">
  <si>
    <t>Z_avg_s_opp</t>
  </si>
  <si>
    <t>z_dismissalRateVsOpp</t>
  </si>
  <si>
    <t>Rest Day</t>
  </si>
  <si>
    <t>Runs</t>
  </si>
  <si>
    <t>Mins</t>
  </si>
  <si>
    <t>BF</t>
  </si>
  <si>
    <t>4s</t>
  </si>
  <si>
    <t>6s</t>
  </si>
  <si>
    <t>SR</t>
  </si>
  <si>
    <t>Pos</t>
  </si>
  <si>
    <t>Dismissal_type</t>
  </si>
  <si>
    <t>Inns</t>
  </si>
  <si>
    <t>Opposition</t>
  </si>
  <si>
    <t>Ground</t>
  </si>
  <si>
    <t>Start Date</t>
  </si>
  <si>
    <t>v Sri Lanka</t>
  </si>
  <si>
    <t>v Pakistan</t>
  </si>
  <si>
    <t>v West Indies</t>
  </si>
  <si>
    <t>v Australia</t>
  </si>
  <si>
    <t>v Bangladesh</t>
  </si>
  <si>
    <t>v South Africa</t>
  </si>
  <si>
    <t>-</t>
  </si>
  <si>
    <t>v Zimbabwe</t>
  </si>
  <si>
    <t>v New Zealand</t>
  </si>
  <si>
    <t>v England</t>
  </si>
  <si>
    <t>v Ireland</t>
  </si>
  <si>
    <t>v Netherlands</t>
  </si>
  <si>
    <t>v Afghanistan</t>
  </si>
  <si>
    <t>v U.A.E.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</si>
</sst>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0.0"/>
    <numFmt numFmtId="166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66B1-3CBA-41EE-BCC2-4F242769754C}">
  <dimension ref="A1:O286"/>
  <sheetViews>
    <sheetView tabSelected="1" workbookViewId="0">
      <selection activeCell="P7" sqref="P7"/>
    </sheetView>
  </sheetViews>
  <sheetFormatPr defaultRowHeight="14.4" x14ac:dyDescent="0.3"/>
  <cols>
    <col min="8" max="8" width="14.6640625" customWidth="1"/>
    <col min="10" max="10" width="11" customWidth="1"/>
    <col min="11" max="11" width="20.6640625" customWidth="1"/>
    <col min="12" max="12" width="11.88671875" customWidth="1"/>
    <col min="14" max="14" width="16.5546875" bestFit="1" customWidth="1"/>
    <col min="15" max="15" width="10.33203125" bestFit="1" customWidth="1"/>
  </cols>
  <sheetData>
    <row r="1" spans="1:15" s="6" customFormat="1" x14ac:dyDescent="0.3">
      <c r="A1" s="6" t="s">
        <v>3</v>
      </c>
      <c r="B1" s="6" t="s">
        <v>5</v>
      </c>
      <c r="C1" s="6" t="s">
        <v>4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0</v>
      </c>
      <c r="K1" s="6" t="s">
        <v>1</v>
      </c>
      <c r="L1" s="6" t="s">
        <v>12</v>
      </c>
      <c r="M1" s="6" t="s">
        <v>13</v>
      </c>
      <c r="N1" s="6" t="s">
        <v>14</v>
      </c>
      <c r="O1" s="6" t="s">
        <v>2</v>
      </c>
    </row>
    <row r="2" spans="1:15" x14ac:dyDescent="0.3">
      <c r="A2" s="1">
        <v>12</v>
      </c>
      <c r="B2" s="1">
        <v>22</v>
      </c>
      <c r="C2" s="1">
        <v>33</v>
      </c>
      <c r="D2" s="1">
        <v>1</v>
      </c>
      <c r="E2" s="1">
        <v>0</v>
      </c>
      <c r="F2" s="2">
        <v>54.54</v>
      </c>
      <c r="G2" s="1">
        <v>2</v>
      </c>
      <c r="H2">
        <v>0.14000000000000001</v>
      </c>
      <c r="I2" s="1">
        <v>1</v>
      </c>
      <c r="J2">
        <v>-0.14000000000000001</v>
      </c>
      <c r="K2">
        <v>0.3</v>
      </c>
      <c r="L2" t="s">
        <v>15</v>
      </c>
      <c r="M2">
        <v>0</v>
      </c>
      <c r="N2" s="5">
        <v>39678</v>
      </c>
      <c r="O2" s="3">
        <v>10</v>
      </c>
    </row>
    <row r="3" spans="1:15" x14ac:dyDescent="0.3">
      <c r="A3" s="1">
        <v>37</v>
      </c>
      <c r="B3" s="1">
        <v>67</v>
      </c>
      <c r="C3" s="1">
        <v>82</v>
      </c>
      <c r="D3" s="1">
        <v>6</v>
      </c>
      <c r="E3" s="1">
        <v>0</v>
      </c>
      <c r="F3" s="2">
        <v>55.22</v>
      </c>
      <c r="G3" s="1">
        <v>2</v>
      </c>
      <c r="H3">
        <v>0.65</v>
      </c>
      <c r="I3" s="1">
        <v>2</v>
      </c>
      <c r="J3">
        <v>-0.14000000000000001</v>
      </c>
      <c r="K3">
        <v>0.3</v>
      </c>
      <c r="L3" t="s">
        <v>15</v>
      </c>
      <c r="M3">
        <v>0</v>
      </c>
      <c r="N3" s="5">
        <v>39680</v>
      </c>
      <c r="O3" s="3">
        <v>2</v>
      </c>
    </row>
    <row r="4" spans="1:15" x14ac:dyDescent="0.3">
      <c r="A4" s="1">
        <v>25</v>
      </c>
      <c r="B4" s="1">
        <v>38</v>
      </c>
      <c r="C4" s="1">
        <v>40</v>
      </c>
      <c r="D4" s="1">
        <v>4</v>
      </c>
      <c r="E4" s="1">
        <v>0</v>
      </c>
      <c r="F4" s="2">
        <v>65.78</v>
      </c>
      <c r="G4" s="1">
        <v>1</v>
      </c>
      <c r="H4">
        <v>0.04</v>
      </c>
      <c r="I4" s="1">
        <v>1</v>
      </c>
      <c r="J4">
        <v>-0.14000000000000001</v>
      </c>
      <c r="K4">
        <v>0.3</v>
      </c>
      <c r="L4" t="s">
        <v>15</v>
      </c>
      <c r="M4">
        <v>0</v>
      </c>
      <c r="N4" s="5">
        <v>39684</v>
      </c>
      <c r="O4" s="3">
        <v>4</v>
      </c>
    </row>
    <row r="5" spans="1:15" x14ac:dyDescent="0.3">
      <c r="A5" s="1">
        <v>54</v>
      </c>
      <c r="B5" s="1">
        <v>66</v>
      </c>
      <c r="C5" s="1">
        <v>87</v>
      </c>
      <c r="D5" s="1">
        <v>7</v>
      </c>
      <c r="E5" s="1">
        <v>0</v>
      </c>
      <c r="F5" s="2">
        <v>81.81</v>
      </c>
      <c r="G5" s="1">
        <v>1</v>
      </c>
      <c r="H5">
        <v>0.15</v>
      </c>
      <c r="I5" s="1">
        <v>1</v>
      </c>
      <c r="J5">
        <v>-0.14000000000000001</v>
      </c>
      <c r="K5">
        <v>0.3</v>
      </c>
      <c r="L5" t="s">
        <v>15</v>
      </c>
      <c r="M5">
        <v>0</v>
      </c>
      <c r="N5" s="5">
        <v>39687</v>
      </c>
      <c r="O5" s="3">
        <v>3</v>
      </c>
    </row>
    <row r="6" spans="1:15" x14ac:dyDescent="0.3">
      <c r="A6" s="1">
        <v>31</v>
      </c>
      <c r="B6" s="1">
        <v>46</v>
      </c>
      <c r="C6" s="1">
        <v>45</v>
      </c>
      <c r="D6" s="1">
        <v>3</v>
      </c>
      <c r="E6" s="1">
        <v>1</v>
      </c>
      <c r="F6" s="2">
        <v>67.39</v>
      </c>
      <c r="G6" s="1">
        <v>1</v>
      </c>
      <c r="H6">
        <v>0.14000000000000001</v>
      </c>
      <c r="I6" s="1">
        <v>2</v>
      </c>
      <c r="J6">
        <v>-0.14000000000000001</v>
      </c>
      <c r="K6">
        <v>0.3</v>
      </c>
      <c r="L6" t="s">
        <v>15</v>
      </c>
      <c r="M6">
        <v>0</v>
      </c>
      <c r="N6" s="5">
        <v>39689</v>
      </c>
      <c r="O6" s="3">
        <v>2</v>
      </c>
    </row>
    <row r="7" spans="1:15" x14ac:dyDescent="0.3">
      <c r="A7" s="1">
        <v>2</v>
      </c>
      <c r="B7" s="1">
        <v>2</v>
      </c>
      <c r="C7" s="1">
        <v>6</v>
      </c>
      <c r="D7" s="1">
        <v>0</v>
      </c>
      <c r="E7" s="1">
        <v>0</v>
      </c>
      <c r="F7" s="1">
        <v>100</v>
      </c>
      <c r="G7" s="1">
        <v>7</v>
      </c>
      <c r="H7">
        <v>0.15</v>
      </c>
      <c r="I7" s="1">
        <v>1</v>
      </c>
      <c r="J7">
        <v>-0.14000000000000001</v>
      </c>
      <c r="K7">
        <v>0.3</v>
      </c>
      <c r="L7" t="s">
        <v>15</v>
      </c>
      <c r="M7">
        <v>0</v>
      </c>
      <c r="N7" s="5">
        <v>40070</v>
      </c>
      <c r="O7" s="3">
        <v>381</v>
      </c>
    </row>
    <row r="8" spans="1:15" x14ac:dyDescent="0.3">
      <c r="A8" s="1">
        <v>16</v>
      </c>
      <c r="B8" s="1">
        <v>24</v>
      </c>
      <c r="C8" s="1">
        <v>28</v>
      </c>
      <c r="D8" s="1">
        <v>1</v>
      </c>
      <c r="E8" s="1">
        <v>0</v>
      </c>
      <c r="F8" s="2">
        <v>66.66</v>
      </c>
      <c r="G8" s="1">
        <v>4</v>
      </c>
      <c r="H8">
        <v>0.65</v>
      </c>
      <c r="I8" s="1">
        <v>2</v>
      </c>
      <c r="J8">
        <v>-0.15</v>
      </c>
      <c r="K8">
        <v>0.11</v>
      </c>
      <c r="L8" t="s">
        <v>16</v>
      </c>
      <c r="M8">
        <v>0</v>
      </c>
      <c r="N8" s="5">
        <v>40082</v>
      </c>
      <c r="O8" s="3">
        <v>12</v>
      </c>
    </row>
    <row r="9" spans="1:15" x14ac:dyDescent="0.3">
      <c r="A9" s="1">
        <v>79</v>
      </c>
      <c r="B9" s="1">
        <v>104</v>
      </c>
      <c r="C9" s="1">
        <v>121</v>
      </c>
      <c r="D9" s="1">
        <v>9</v>
      </c>
      <c r="E9" s="1">
        <v>2</v>
      </c>
      <c r="F9" s="2">
        <v>75.959999999999994</v>
      </c>
      <c r="G9" s="1">
        <v>4</v>
      </c>
      <c r="H9">
        <v>0.15</v>
      </c>
      <c r="I9" s="1">
        <v>2</v>
      </c>
      <c r="J9">
        <v>-0.06</v>
      </c>
      <c r="K9">
        <v>0.4</v>
      </c>
      <c r="L9" t="s">
        <v>17</v>
      </c>
      <c r="M9">
        <v>0</v>
      </c>
      <c r="N9" s="5">
        <v>40086</v>
      </c>
      <c r="O9" s="3">
        <v>4</v>
      </c>
    </row>
    <row r="10" spans="1:15" x14ac:dyDescent="0.3">
      <c r="A10" s="1">
        <v>30</v>
      </c>
      <c r="B10" s="1">
        <v>41</v>
      </c>
      <c r="C10" s="1">
        <v>53</v>
      </c>
      <c r="D10" s="1">
        <v>3</v>
      </c>
      <c r="E10" s="1">
        <v>0</v>
      </c>
      <c r="F10" s="2">
        <v>73.17</v>
      </c>
      <c r="G10" s="1">
        <v>4</v>
      </c>
      <c r="H10">
        <v>0.65</v>
      </c>
      <c r="I10" s="1">
        <v>2</v>
      </c>
      <c r="J10">
        <v>-0.42</v>
      </c>
      <c r="K10">
        <v>0.72</v>
      </c>
      <c r="L10" t="s">
        <v>18</v>
      </c>
      <c r="M10">
        <v>1</v>
      </c>
      <c r="N10" s="5">
        <v>40111</v>
      </c>
      <c r="O10" s="3">
        <v>25</v>
      </c>
    </row>
    <row r="11" spans="1:15" x14ac:dyDescent="0.3">
      <c r="A11" s="1">
        <v>10</v>
      </c>
      <c r="B11" s="1">
        <v>16</v>
      </c>
      <c r="C11" s="1">
        <v>32</v>
      </c>
      <c r="D11" s="1">
        <v>1</v>
      </c>
      <c r="E11" s="1">
        <v>0</v>
      </c>
      <c r="F11" s="4">
        <v>62.5</v>
      </c>
      <c r="G11" s="1">
        <v>3</v>
      </c>
      <c r="H11">
        <v>0.65</v>
      </c>
      <c r="I11" s="1">
        <v>2</v>
      </c>
      <c r="J11">
        <v>-0.42</v>
      </c>
      <c r="K11">
        <v>0.72</v>
      </c>
      <c r="L11" t="s">
        <v>18</v>
      </c>
      <c r="M11">
        <v>1</v>
      </c>
      <c r="N11" s="5">
        <v>40119</v>
      </c>
      <c r="O11" s="3">
        <v>8</v>
      </c>
    </row>
    <row r="12" spans="1:15" x14ac:dyDescent="0.3">
      <c r="A12" s="1">
        <v>27</v>
      </c>
      <c r="B12" s="1">
        <v>19</v>
      </c>
      <c r="C12" s="1">
        <v>20</v>
      </c>
      <c r="D12" s="1">
        <v>4</v>
      </c>
      <c r="E12" s="1">
        <v>0</v>
      </c>
      <c r="F12" s="4">
        <v>142.1</v>
      </c>
      <c r="G12" s="1">
        <v>7</v>
      </c>
      <c r="H12">
        <v>0.15</v>
      </c>
      <c r="I12" s="1">
        <v>1</v>
      </c>
      <c r="J12">
        <v>-0.14000000000000001</v>
      </c>
      <c r="K12">
        <v>0.3</v>
      </c>
      <c r="L12" t="s">
        <v>15</v>
      </c>
      <c r="M12">
        <v>1</v>
      </c>
      <c r="N12" s="5">
        <v>40162</v>
      </c>
      <c r="O12" s="3">
        <v>43</v>
      </c>
    </row>
    <row r="13" spans="1:15" x14ac:dyDescent="0.3">
      <c r="A13" s="1">
        <v>54</v>
      </c>
      <c r="B13" s="1">
        <v>65</v>
      </c>
      <c r="C13" s="1">
        <v>93</v>
      </c>
      <c r="D13" s="1">
        <v>7</v>
      </c>
      <c r="E13" s="1">
        <v>0</v>
      </c>
      <c r="F13" s="2">
        <v>83.07</v>
      </c>
      <c r="G13" s="1">
        <v>4</v>
      </c>
      <c r="H13">
        <v>0.14000000000000001</v>
      </c>
      <c r="I13" s="1">
        <v>1</v>
      </c>
      <c r="J13">
        <v>-0.14000000000000001</v>
      </c>
      <c r="K13">
        <v>0.3</v>
      </c>
      <c r="L13" t="s">
        <v>15</v>
      </c>
      <c r="M13">
        <v>1</v>
      </c>
      <c r="N13" s="5">
        <v>40165</v>
      </c>
      <c r="O13" s="3">
        <v>3</v>
      </c>
    </row>
    <row r="14" spans="1:15" x14ac:dyDescent="0.3">
      <c r="A14" s="1">
        <v>107</v>
      </c>
      <c r="B14" s="1">
        <v>114</v>
      </c>
      <c r="C14" s="1" cm="1">
        <f t="array" ref="C14">TREND(C2:C13,A2:B13,A14:B14)</f>
        <v>140.67069008522327</v>
      </c>
      <c r="D14" s="1">
        <v>11</v>
      </c>
      <c r="E14" s="1">
        <v>1</v>
      </c>
      <c r="F14" s="2">
        <v>93.85</v>
      </c>
      <c r="G14" s="1">
        <v>4</v>
      </c>
      <c r="H14">
        <v>0.65</v>
      </c>
      <c r="I14" s="1">
        <v>2</v>
      </c>
      <c r="J14">
        <v>-0.14000000000000001</v>
      </c>
      <c r="K14">
        <v>0.3</v>
      </c>
      <c r="L14" t="s">
        <v>15</v>
      </c>
      <c r="M14">
        <v>1</v>
      </c>
      <c r="N14" s="5">
        <v>40171</v>
      </c>
      <c r="O14" s="3">
        <v>6</v>
      </c>
    </row>
    <row r="15" spans="1:15" x14ac:dyDescent="0.3">
      <c r="A15" s="1">
        <v>9</v>
      </c>
      <c r="B15" s="1">
        <v>12</v>
      </c>
      <c r="C15" s="1">
        <v>19</v>
      </c>
      <c r="D15" s="1">
        <v>1</v>
      </c>
      <c r="E15" s="1">
        <v>0</v>
      </c>
      <c r="F15" s="1">
        <v>75</v>
      </c>
      <c r="G15" s="1">
        <v>3</v>
      </c>
      <c r="H15">
        <v>0.65</v>
      </c>
      <c r="I15" s="1">
        <v>1</v>
      </c>
      <c r="J15">
        <v>-0.14000000000000001</v>
      </c>
      <c r="K15">
        <v>0.3</v>
      </c>
      <c r="L15" t="s">
        <v>15</v>
      </c>
      <c r="M15">
        <v>1</v>
      </c>
      <c r="N15" s="5">
        <v>40183</v>
      </c>
      <c r="O15" s="3">
        <v>12</v>
      </c>
    </row>
    <row r="16" spans="1:15" x14ac:dyDescent="0.3">
      <c r="A16" s="1">
        <v>91</v>
      </c>
      <c r="B16" s="1">
        <v>102</v>
      </c>
      <c r="C16" s="1">
        <v>136</v>
      </c>
      <c r="D16" s="1">
        <v>7</v>
      </c>
      <c r="E16" s="1">
        <v>0</v>
      </c>
      <c r="F16" s="2">
        <v>89.21</v>
      </c>
      <c r="G16" s="1">
        <v>3</v>
      </c>
      <c r="H16">
        <v>0.65</v>
      </c>
      <c r="I16" s="1">
        <v>2</v>
      </c>
      <c r="J16">
        <v>0.37</v>
      </c>
      <c r="K16">
        <v>0.11</v>
      </c>
      <c r="L16" t="s">
        <v>19</v>
      </c>
      <c r="M16">
        <v>1</v>
      </c>
      <c r="N16" s="5">
        <v>40185</v>
      </c>
      <c r="O16" s="3">
        <v>2</v>
      </c>
    </row>
    <row r="17" spans="1:15" x14ac:dyDescent="0.3">
      <c r="A17" s="1">
        <v>71</v>
      </c>
      <c r="B17" s="1">
        <v>68</v>
      </c>
      <c r="C17" s="1">
        <v>98</v>
      </c>
      <c r="D17" s="1">
        <v>9</v>
      </c>
      <c r="E17" s="1">
        <v>0</v>
      </c>
      <c r="F17" s="2">
        <v>104.41</v>
      </c>
      <c r="G17" s="1">
        <v>3</v>
      </c>
      <c r="H17">
        <v>0.15</v>
      </c>
      <c r="I17" s="1">
        <v>2</v>
      </c>
      <c r="J17">
        <v>-0.14000000000000001</v>
      </c>
      <c r="K17">
        <v>0.3</v>
      </c>
      <c r="L17" t="s">
        <v>15</v>
      </c>
      <c r="M17">
        <v>1</v>
      </c>
      <c r="N17" s="5">
        <v>40188</v>
      </c>
      <c r="O17" s="3">
        <v>3</v>
      </c>
    </row>
    <row r="18" spans="1:15" x14ac:dyDescent="0.3">
      <c r="A18" s="1">
        <v>102</v>
      </c>
      <c r="B18" s="1">
        <v>95</v>
      </c>
      <c r="C18" s="1">
        <v>128</v>
      </c>
      <c r="D18" s="1">
        <v>11</v>
      </c>
      <c r="E18" s="1">
        <v>0</v>
      </c>
      <c r="F18" s="2">
        <v>107.36</v>
      </c>
      <c r="G18" s="1">
        <v>3</v>
      </c>
      <c r="H18">
        <v>0.15</v>
      </c>
      <c r="I18" s="1">
        <v>2</v>
      </c>
      <c r="J18">
        <v>0.37</v>
      </c>
      <c r="K18">
        <v>0.11</v>
      </c>
      <c r="L18" t="s">
        <v>19</v>
      </c>
      <c r="M18">
        <v>1</v>
      </c>
      <c r="N18" s="5">
        <v>40189</v>
      </c>
      <c r="O18" s="3">
        <v>1</v>
      </c>
    </row>
    <row r="19" spans="1:15" x14ac:dyDescent="0.3">
      <c r="A19" s="1">
        <v>2</v>
      </c>
      <c r="B19" s="1">
        <v>8</v>
      </c>
      <c r="C19" s="1">
        <v>6</v>
      </c>
      <c r="D19" s="1">
        <v>0</v>
      </c>
      <c r="E19" s="1">
        <v>0</v>
      </c>
      <c r="F19" s="1">
        <v>25</v>
      </c>
      <c r="G19" s="1">
        <v>3</v>
      </c>
      <c r="H19">
        <v>0.65</v>
      </c>
      <c r="I19" s="1">
        <v>1</v>
      </c>
      <c r="J19">
        <v>-0.14000000000000001</v>
      </c>
      <c r="K19">
        <v>0.3</v>
      </c>
      <c r="L19" t="s">
        <v>15</v>
      </c>
      <c r="M19">
        <v>1</v>
      </c>
      <c r="N19" s="5">
        <v>40191</v>
      </c>
      <c r="O19" s="3">
        <v>2</v>
      </c>
    </row>
    <row r="20" spans="1:15" x14ac:dyDescent="0.3">
      <c r="A20" s="1">
        <v>31</v>
      </c>
      <c r="B20" s="1">
        <v>46</v>
      </c>
      <c r="C20" s="1" cm="1">
        <f t="array" ref="C20">TREND(C2:C19,A2:B19,A20:B20)</f>
        <v>56.628946324480729</v>
      </c>
      <c r="D20" s="1">
        <v>1</v>
      </c>
      <c r="E20" s="1">
        <v>0</v>
      </c>
      <c r="F20" s="2">
        <v>67.39</v>
      </c>
      <c r="G20" s="1">
        <v>5</v>
      </c>
      <c r="H20">
        <v>0.65</v>
      </c>
      <c r="I20" s="1">
        <v>1</v>
      </c>
      <c r="J20">
        <v>0.39</v>
      </c>
      <c r="K20">
        <v>0.18</v>
      </c>
      <c r="L20" t="s">
        <v>20</v>
      </c>
      <c r="M20">
        <v>1</v>
      </c>
      <c r="N20" s="5">
        <v>40230</v>
      </c>
      <c r="O20" s="3">
        <v>39</v>
      </c>
    </row>
    <row r="21" spans="1:15" x14ac:dyDescent="0.3">
      <c r="A21" s="1">
        <v>57</v>
      </c>
      <c r="B21" s="1">
        <v>71</v>
      </c>
      <c r="C21" s="1" cm="1">
        <f t="array" ref="C21">TREND(C3:C20,A3:B20,A21:B21)</f>
        <v>89.026684955124438</v>
      </c>
      <c r="D21" s="1">
        <v>4</v>
      </c>
      <c r="E21" s="1">
        <v>1</v>
      </c>
      <c r="F21" s="2">
        <v>80.28</v>
      </c>
      <c r="G21" s="1">
        <v>3</v>
      </c>
      <c r="H21">
        <v>0.65</v>
      </c>
      <c r="I21" s="1">
        <v>2</v>
      </c>
      <c r="J21">
        <v>0.39</v>
      </c>
      <c r="K21">
        <v>0.18</v>
      </c>
      <c r="L21" t="s">
        <v>20</v>
      </c>
      <c r="M21">
        <v>1</v>
      </c>
      <c r="N21" s="5">
        <v>40236</v>
      </c>
      <c r="O21" s="3">
        <v>3</v>
      </c>
    </row>
    <row r="22" spans="1:15" x14ac:dyDescent="0.3">
      <c r="A22" s="1">
        <v>0</v>
      </c>
      <c r="B22" s="1">
        <v>0</v>
      </c>
      <c r="C22" s="1">
        <v>3</v>
      </c>
      <c r="D22" s="1">
        <v>0</v>
      </c>
      <c r="E22" s="1">
        <v>0</v>
      </c>
      <c r="F22" t="s">
        <v>21</v>
      </c>
      <c r="G22" s="1">
        <v>3</v>
      </c>
      <c r="H22">
        <v>0.04</v>
      </c>
      <c r="I22" s="1">
        <v>1</v>
      </c>
      <c r="J22">
        <v>-0.56000000000000005</v>
      </c>
      <c r="K22">
        <v>0.37</v>
      </c>
      <c r="L22" t="s">
        <v>22</v>
      </c>
      <c r="M22">
        <v>0</v>
      </c>
      <c r="N22" s="5">
        <v>40326</v>
      </c>
      <c r="O22" s="3">
        <v>90</v>
      </c>
    </row>
    <row r="23" spans="1:15" x14ac:dyDescent="0.3">
      <c r="A23" s="1">
        <v>82</v>
      </c>
      <c r="B23" s="1">
        <v>92</v>
      </c>
      <c r="C23" s="1">
        <v>125</v>
      </c>
      <c r="D23" s="1">
        <v>4</v>
      </c>
      <c r="E23" s="1">
        <v>0</v>
      </c>
      <c r="F23" s="2">
        <v>89.13</v>
      </c>
      <c r="G23" s="1">
        <v>3</v>
      </c>
      <c r="H23">
        <v>0.65</v>
      </c>
      <c r="I23" s="1">
        <v>2</v>
      </c>
      <c r="J23">
        <v>-0.14000000000000001</v>
      </c>
      <c r="K23">
        <v>0.3</v>
      </c>
      <c r="L23" t="s">
        <v>15</v>
      </c>
      <c r="M23">
        <v>0</v>
      </c>
      <c r="N23" s="5">
        <v>40328</v>
      </c>
      <c r="O23" s="3">
        <v>2</v>
      </c>
    </row>
    <row r="24" spans="1:15" x14ac:dyDescent="0.3">
      <c r="A24" s="1">
        <v>18</v>
      </c>
      <c r="B24" s="1">
        <v>29</v>
      </c>
      <c r="C24" s="1">
        <v>28</v>
      </c>
      <c r="D24" s="1">
        <v>1</v>
      </c>
      <c r="E24" s="1">
        <v>0</v>
      </c>
      <c r="F24" s="2">
        <v>62.06</v>
      </c>
      <c r="G24" s="1">
        <v>3</v>
      </c>
      <c r="H24">
        <v>0.65</v>
      </c>
      <c r="I24" s="1">
        <v>1</v>
      </c>
      <c r="J24">
        <v>-0.56000000000000005</v>
      </c>
      <c r="K24">
        <v>0.37</v>
      </c>
      <c r="L24" t="s">
        <v>22</v>
      </c>
      <c r="M24">
        <v>0</v>
      </c>
      <c r="N24" s="5">
        <v>40332</v>
      </c>
      <c r="O24" s="3">
        <v>4</v>
      </c>
    </row>
    <row r="25" spans="1:15" x14ac:dyDescent="0.3">
      <c r="A25" s="1">
        <v>68</v>
      </c>
      <c r="B25" s="1">
        <v>95</v>
      </c>
      <c r="C25" s="1">
        <v>123</v>
      </c>
      <c r="D25" s="1">
        <v>5</v>
      </c>
      <c r="E25" s="1">
        <v>0</v>
      </c>
      <c r="F25" s="2">
        <v>71.569999999999993</v>
      </c>
      <c r="G25" s="1">
        <v>3</v>
      </c>
      <c r="H25">
        <v>0.65</v>
      </c>
      <c r="I25" s="1">
        <v>1</v>
      </c>
      <c r="J25">
        <v>-0.14000000000000001</v>
      </c>
      <c r="K25">
        <v>0.3</v>
      </c>
      <c r="L25" t="s">
        <v>15</v>
      </c>
      <c r="M25">
        <v>0</v>
      </c>
      <c r="N25" s="5">
        <v>40334</v>
      </c>
      <c r="O25" s="3">
        <v>2</v>
      </c>
    </row>
    <row r="26" spans="1:15" x14ac:dyDescent="0.3">
      <c r="A26" s="1">
        <v>11</v>
      </c>
      <c r="B26" s="1">
        <v>22</v>
      </c>
      <c r="C26" s="1">
        <v>35</v>
      </c>
      <c r="D26" s="1">
        <v>0</v>
      </c>
      <c r="E26" s="1">
        <v>0</v>
      </c>
      <c r="F26" s="1">
        <v>50</v>
      </c>
      <c r="G26" s="1">
        <v>3</v>
      </c>
      <c r="H26">
        <v>0.02</v>
      </c>
      <c r="I26" s="1">
        <v>2</v>
      </c>
      <c r="J26">
        <v>0.37</v>
      </c>
      <c r="K26">
        <v>0.11</v>
      </c>
      <c r="L26" t="s">
        <v>19</v>
      </c>
      <c r="M26">
        <v>0</v>
      </c>
      <c r="N26" s="5">
        <v>40345</v>
      </c>
      <c r="O26" s="3">
        <v>11</v>
      </c>
    </row>
    <row r="27" spans="1:15" x14ac:dyDescent="0.3">
      <c r="A27" s="1">
        <v>18</v>
      </c>
      <c r="B27" s="1">
        <v>27</v>
      </c>
      <c r="C27" s="1">
        <v>31</v>
      </c>
      <c r="D27" s="1">
        <v>1</v>
      </c>
      <c r="E27" s="1">
        <v>0</v>
      </c>
      <c r="F27" s="2">
        <v>66.66</v>
      </c>
      <c r="G27" s="1">
        <v>3</v>
      </c>
      <c r="H27">
        <v>0.15</v>
      </c>
      <c r="I27" s="1">
        <v>2</v>
      </c>
      <c r="J27">
        <v>-0.15</v>
      </c>
      <c r="K27">
        <v>0.11</v>
      </c>
      <c r="L27" t="s">
        <v>16</v>
      </c>
      <c r="M27">
        <v>0</v>
      </c>
      <c r="N27" s="5">
        <v>40348</v>
      </c>
      <c r="O27" s="3">
        <v>3</v>
      </c>
    </row>
    <row r="28" spans="1:15" x14ac:dyDescent="0.3">
      <c r="A28" s="1">
        <v>10</v>
      </c>
      <c r="B28" s="1">
        <v>14</v>
      </c>
      <c r="C28" s="1">
        <v>13</v>
      </c>
      <c r="D28" s="1">
        <v>1</v>
      </c>
      <c r="E28" s="1">
        <v>0</v>
      </c>
      <c r="F28" s="2">
        <v>71.42</v>
      </c>
      <c r="G28" s="1">
        <v>3</v>
      </c>
      <c r="H28">
        <v>0.65</v>
      </c>
      <c r="I28" s="1">
        <v>1</v>
      </c>
      <c r="J28">
        <v>-0.14000000000000001</v>
      </c>
      <c r="K28">
        <v>0.3</v>
      </c>
      <c r="L28" t="s">
        <v>15</v>
      </c>
      <c r="M28">
        <v>0</v>
      </c>
      <c r="N28" s="5">
        <v>40351</v>
      </c>
      <c r="O28" s="3">
        <v>3</v>
      </c>
    </row>
    <row r="29" spans="1:15" x14ac:dyDescent="0.3">
      <c r="A29" s="1">
        <v>28</v>
      </c>
      <c r="B29" s="1">
        <v>34</v>
      </c>
      <c r="C29" s="1">
        <v>57</v>
      </c>
      <c r="D29" s="1">
        <v>4</v>
      </c>
      <c r="E29" s="1">
        <v>0</v>
      </c>
      <c r="F29" s="2">
        <v>82.35</v>
      </c>
      <c r="G29" s="1">
        <v>3</v>
      </c>
      <c r="H29">
        <v>0.65</v>
      </c>
      <c r="I29" s="1">
        <v>1</v>
      </c>
      <c r="J29">
        <v>-0.14000000000000001</v>
      </c>
      <c r="K29">
        <v>0.3</v>
      </c>
      <c r="L29" t="s">
        <v>15</v>
      </c>
      <c r="M29">
        <v>0</v>
      </c>
      <c r="N29" s="5">
        <v>40353</v>
      </c>
      <c r="O29" s="3">
        <v>2</v>
      </c>
    </row>
    <row r="30" spans="1:15" x14ac:dyDescent="0.3">
      <c r="A30" s="1">
        <v>0</v>
      </c>
      <c r="B30" s="1">
        <v>3</v>
      </c>
      <c r="C30" s="1">
        <v>5</v>
      </c>
      <c r="D30" s="1">
        <v>0</v>
      </c>
      <c r="E30" s="1">
        <v>0</v>
      </c>
      <c r="F30" s="1">
        <v>0</v>
      </c>
      <c r="G30" s="1">
        <v>3</v>
      </c>
      <c r="H30">
        <v>0.65</v>
      </c>
      <c r="I30" s="1">
        <v>2</v>
      </c>
      <c r="J30">
        <v>-0.14000000000000001</v>
      </c>
      <c r="K30">
        <v>0.3</v>
      </c>
      <c r="L30" t="s">
        <v>15</v>
      </c>
      <c r="M30">
        <v>0</v>
      </c>
      <c r="N30" s="5">
        <v>40406</v>
      </c>
      <c r="O30" s="3">
        <v>53</v>
      </c>
    </row>
    <row r="31" spans="1:15" x14ac:dyDescent="0.3">
      <c r="A31" s="1">
        <v>8</v>
      </c>
      <c r="B31" s="1">
        <v>16</v>
      </c>
      <c r="C31" s="1">
        <v>22</v>
      </c>
      <c r="D31" s="1">
        <v>1</v>
      </c>
      <c r="E31" s="1">
        <v>0</v>
      </c>
      <c r="F31" s="1">
        <v>50</v>
      </c>
      <c r="G31" s="1">
        <v>3</v>
      </c>
      <c r="H31">
        <v>0.65</v>
      </c>
      <c r="I31" s="1">
        <v>1</v>
      </c>
      <c r="J31">
        <v>-0.26</v>
      </c>
      <c r="K31">
        <v>0.69</v>
      </c>
      <c r="L31" t="s">
        <v>23</v>
      </c>
      <c r="M31">
        <v>0</v>
      </c>
      <c r="N31" s="5">
        <v>40415</v>
      </c>
      <c r="O31" s="3">
        <v>9</v>
      </c>
    </row>
    <row r="32" spans="1:15" x14ac:dyDescent="0.3">
      <c r="A32" s="1">
        <v>37</v>
      </c>
      <c r="B32" s="1">
        <v>57</v>
      </c>
      <c r="C32" s="1">
        <v>98</v>
      </c>
      <c r="D32" s="1">
        <v>5</v>
      </c>
      <c r="E32" s="1">
        <v>0</v>
      </c>
      <c r="F32" s="2">
        <v>64.91</v>
      </c>
      <c r="G32" s="1">
        <v>3</v>
      </c>
      <c r="H32">
        <v>0.65</v>
      </c>
      <c r="I32" s="1">
        <v>2</v>
      </c>
      <c r="J32">
        <v>-0.14000000000000001</v>
      </c>
      <c r="K32">
        <v>0.3</v>
      </c>
      <c r="L32" t="s">
        <v>15</v>
      </c>
      <c r="M32">
        <v>0</v>
      </c>
      <c r="N32" s="5">
        <v>40418</v>
      </c>
      <c r="O32" s="3">
        <v>3</v>
      </c>
    </row>
    <row r="33" spans="1:15" x14ac:dyDescent="0.3">
      <c r="A33" s="1">
        <v>118</v>
      </c>
      <c r="B33" s="1">
        <v>121</v>
      </c>
      <c r="C33" s="1">
        <v>193</v>
      </c>
      <c r="D33" s="1">
        <v>11</v>
      </c>
      <c r="E33" s="1">
        <v>1</v>
      </c>
      <c r="F33" s="2">
        <v>97.52</v>
      </c>
      <c r="G33" s="1">
        <v>3</v>
      </c>
      <c r="H33">
        <v>0.65</v>
      </c>
      <c r="I33" s="1">
        <v>2</v>
      </c>
      <c r="J33">
        <v>-0.42</v>
      </c>
      <c r="K33">
        <v>0.72</v>
      </c>
      <c r="L33" t="s">
        <v>18</v>
      </c>
      <c r="M33">
        <v>1</v>
      </c>
      <c r="N33" s="5">
        <v>40471</v>
      </c>
      <c r="O33" s="3">
        <v>53</v>
      </c>
    </row>
    <row r="34" spans="1:15" x14ac:dyDescent="0.3">
      <c r="A34" s="1">
        <v>105</v>
      </c>
      <c r="B34" s="1">
        <v>104</v>
      </c>
      <c r="C34" s="1">
        <v>162</v>
      </c>
      <c r="D34" s="1">
        <v>10</v>
      </c>
      <c r="E34" s="1">
        <v>0</v>
      </c>
      <c r="F34" s="2">
        <v>100.96</v>
      </c>
      <c r="G34" s="1">
        <v>3</v>
      </c>
      <c r="H34">
        <v>0.65</v>
      </c>
      <c r="I34" s="1">
        <v>1</v>
      </c>
      <c r="J34">
        <v>-0.26</v>
      </c>
      <c r="K34">
        <v>0.69</v>
      </c>
      <c r="L34" t="s">
        <v>23</v>
      </c>
      <c r="M34">
        <v>1</v>
      </c>
      <c r="N34" s="5">
        <v>40510</v>
      </c>
      <c r="O34" s="3">
        <v>39</v>
      </c>
    </row>
    <row r="35" spans="1:15" x14ac:dyDescent="0.3">
      <c r="A35" s="1">
        <v>64</v>
      </c>
      <c r="B35" s="1">
        <v>73</v>
      </c>
      <c r="C35" s="1">
        <v>78</v>
      </c>
      <c r="D35" s="1">
        <v>8</v>
      </c>
      <c r="E35" s="1">
        <v>0</v>
      </c>
      <c r="F35" s="2">
        <v>87.67</v>
      </c>
      <c r="G35" s="1">
        <v>3</v>
      </c>
      <c r="H35">
        <v>0.65</v>
      </c>
      <c r="I35" s="1">
        <v>2</v>
      </c>
      <c r="J35">
        <v>-0.26</v>
      </c>
      <c r="K35">
        <v>0.69</v>
      </c>
      <c r="L35" t="s">
        <v>23</v>
      </c>
      <c r="M35">
        <v>1</v>
      </c>
      <c r="N35" s="5">
        <v>40513</v>
      </c>
      <c r="O35" s="3">
        <v>3</v>
      </c>
    </row>
    <row r="36" spans="1:15" x14ac:dyDescent="0.3">
      <c r="A36" s="1">
        <v>63</v>
      </c>
      <c r="B36" s="1">
        <v>70</v>
      </c>
      <c r="C36" s="1">
        <v>83</v>
      </c>
      <c r="D36" s="1">
        <v>6</v>
      </c>
      <c r="E36" s="1">
        <v>2</v>
      </c>
      <c r="F36" s="1">
        <v>90</v>
      </c>
      <c r="G36" s="1">
        <v>3</v>
      </c>
      <c r="H36">
        <v>0.15</v>
      </c>
      <c r="I36" s="1">
        <v>2</v>
      </c>
      <c r="J36">
        <v>-0.26</v>
      </c>
      <c r="K36">
        <v>0.69</v>
      </c>
      <c r="L36" t="s">
        <v>23</v>
      </c>
      <c r="M36">
        <v>1</v>
      </c>
      <c r="N36" s="5">
        <v>40516</v>
      </c>
      <c r="O36" s="3">
        <v>3</v>
      </c>
    </row>
    <row r="37" spans="1:15" x14ac:dyDescent="0.3">
      <c r="A37" s="1">
        <v>0</v>
      </c>
      <c r="B37" s="1">
        <v>2</v>
      </c>
      <c r="C37" s="1">
        <v>3</v>
      </c>
      <c r="D37" s="1">
        <v>0</v>
      </c>
      <c r="E37" s="1">
        <v>0</v>
      </c>
      <c r="F37" s="1">
        <v>0</v>
      </c>
      <c r="G37" s="1">
        <v>3</v>
      </c>
      <c r="H37">
        <v>0.65</v>
      </c>
      <c r="I37" s="1">
        <v>2</v>
      </c>
      <c r="J37">
        <v>-0.26</v>
      </c>
      <c r="K37">
        <v>0.69</v>
      </c>
      <c r="L37" t="s">
        <v>23</v>
      </c>
      <c r="M37">
        <v>1</v>
      </c>
      <c r="N37" s="5">
        <v>40519</v>
      </c>
      <c r="O37" s="3">
        <v>3</v>
      </c>
    </row>
    <row r="38" spans="1:15" x14ac:dyDescent="0.3">
      <c r="A38" s="1">
        <v>2</v>
      </c>
      <c r="B38" s="1">
        <v>8</v>
      </c>
      <c r="C38" s="1">
        <v>10</v>
      </c>
      <c r="D38" s="1">
        <v>0</v>
      </c>
      <c r="E38" s="1">
        <v>0</v>
      </c>
      <c r="F38" s="1">
        <v>25</v>
      </c>
      <c r="G38" s="1">
        <v>3</v>
      </c>
      <c r="H38">
        <v>0.65</v>
      </c>
      <c r="I38" s="1">
        <v>2</v>
      </c>
      <c r="J38">
        <v>-0.26</v>
      </c>
      <c r="K38">
        <v>0.69</v>
      </c>
      <c r="L38" t="s">
        <v>23</v>
      </c>
      <c r="M38">
        <v>1</v>
      </c>
      <c r="N38" s="5">
        <v>40522</v>
      </c>
      <c r="O38" s="3">
        <v>3</v>
      </c>
    </row>
    <row r="39" spans="1:15" x14ac:dyDescent="0.3">
      <c r="A39" s="1">
        <v>54</v>
      </c>
      <c r="B39" s="1">
        <v>70</v>
      </c>
      <c r="C39" s="1">
        <v>122</v>
      </c>
      <c r="D39" s="1">
        <v>2</v>
      </c>
      <c r="E39" s="1">
        <v>1</v>
      </c>
      <c r="F39" s="2">
        <v>77.14</v>
      </c>
      <c r="G39" s="1">
        <v>3</v>
      </c>
      <c r="H39">
        <v>0.65</v>
      </c>
      <c r="I39" s="1">
        <v>2</v>
      </c>
      <c r="J39">
        <v>0.39</v>
      </c>
      <c r="K39">
        <v>0.18</v>
      </c>
      <c r="L39" t="s">
        <v>20</v>
      </c>
      <c r="M39">
        <v>0</v>
      </c>
      <c r="N39" s="5">
        <v>40555</v>
      </c>
      <c r="O39" s="3">
        <v>33</v>
      </c>
    </row>
    <row r="40" spans="1:15" x14ac:dyDescent="0.3">
      <c r="A40" s="1">
        <v>22</v>
      </c>
      <c r="B40" s="1">
        <v>34</v>
      </c>
      <c r="C40" s="1">
        <v>43</v>
      </c>
      <c r="D40" s="1">
        <v>1</v>
      </c>
      <c r="E40" s="1">
        <v>0</v>
      </c>
      <c r="F40" s="4">
        <v>64.7</v>
      </c>
      <c r="G40" s="1">
        <v>3</v>
      </c>
      <c r="H40">
        <v>0.04</v>
      </c>
      <c r="I40" s="1">
        <v>1</v>
      </c>
      <c r="J40">
        <v>0.39</v>
      </c>
      <c r="K40">
        <v>0.18</v>
      </c>
      <c r="L40" t="s">
        <v>20</v>
      </c>
      <c r="M40">
        <v>0</v>
      </c>
      <c r="N40" s="5">
        <v>40558</v>
      </c>
      <c r="O40" s="3">
        <v>3</v>
      </c>
    </row>
    <row r="41" spans="1:15" x14ac:dyDescent="0.3">
      <c r="A41" s="1">
        <v>28</v>
      </c>
      <c r="B41" s="1">
        <v>41</v>
      </c>
      <c r="C41" s="1">
        <v>51</v>
      </c>
      <c r="D41" s="1">
        <v>5</v>
      </c>
      <c r="E41" s="1">
        <v>0</v>
      </c>
      <c r="F41" s="2">
        <v>68.290000000000006</v>
      </c>
      <c r="G41" s="1">
        <v>3</v>
      </c>
      <c r="H41">
        <v>0.65</v>
      </c>
      <c r="I41" s="1">
        <v>2</v>
      </c>
      <c r="J41">
        <v>0.39</v>
      </c>
      <c r="K41">
        <v>0.18</v>
      </c>
      <c r="L41" t="s">
        <v>20</v>
      </c>
      <c r="M41">
        <v>0</v>
      </c>
      <c r="N41" s="5">
        <v>40561</v>
      </c>
      <c r="O41" s="3">
        <v>3</v>
      </c>
    </row>
    <row r="42" spans="1:15" x14ac:dyDescent="0.3">
      <c r="A42" s="1">
        <v>87</v>
      </c>
      <c r="B42" s="1">
        <v>92</v>
      </c>
      <c r="C42" s="1">
        <v>126</v>
      </c>
      <c r="D42" s="1">
        <v>7</v>
      </c>
      <c r="E42" s="1">
        <v>2</v>
      </c>
      <c r="F42" s="2">
        <v>94.56</v>
      </c>
      <c r="G42" s="1">
        <v>3</v>
      </c>
      <c r="H42">
        <v>0.15</v>
      </c>
      <c r="I42" s="1">
        <v>2</v>
      </c>
      <c r="J42">
        <v>0.39</v>
      </c>
      <c r="K42">
        <v>0.18</v>
      </c>
      <c r="L42" t="s">
        <v>20</v>
      </c>
      <c r="M42">
        <v>0</v>
      </c>
      <c r="N42" s="5">
        <v>40564</v>
      </c>
      <c r="O42" s="3">
        <v>3</v>
      </c>
    </row>
    <row r="43" spans="1:15" x14ac:dyDescent="0.3">
      <c r="A43" s="1">
        <v>2</v>
      </c>
      <c r="B43" s="1">
        <v>6</v>
      </c>
      <c r="C43" s="1">
        <v>11</v>
      </c>
      <c r="D43" s="1">
        <v>0</v>
      </c>
      <c r="E43" s="1">
        <v>0</v>
      </c>
      <c r="F43" s="2">
        <v>33.33</v>
      </c>
      <c r="G43" s="1">
        <v>3</v>
      </c>
      <c r="H43">
        <v>0.65</v>
      </c>
      <c r="I43" s="1">
        <v>2</v>
      </c>
      <c r="J43">
        <v>0.39</v>
      </c>
      <c r="K43">
        <v>0.18</v>
      </c>
      <c r="L43" t="s">
        <v>20</v>
      </c>
      <c r="M43">
        <v>0</v>
      </c>
      <c r="N43" s="5">
        <v>40566</v>
      </c>
      <c r="O43" s="3">
        <v>2</v>
      </c>
    </row>
    <row r="44" spans="1:15" x14ac:dyDescent="0.3">
      <c r="A44" s="1">
        <v>100</v>
      </c>
      <c r="B44" s="1">
        <v>83</v>
      </c>
      <c r="C44" s="1">
        <v>113</v>
      </c>
      <c r="D44" s="1">
        <v>8</v>
      </c>
      <c r="E44" s="1">
        <v>2</v>
      </c>
      <c r="F44" s="2">
        <v>120.48</v>
      </c>
      <c r="G44" s="1">
        <v>4</v>
      </c>
      <c r="H44">
        <v>0.15</v>
      </c>
      <c r="I44" s="1">
        <v>1</v>
      </c>
      <c r="J44">
        <v>0.37</v>
      </c>
      <c r="K44">
        <v>0.11</v>
      </c>
      <c r="L44" t="s">
        <v>19</v>
      </c>
      <c r="M44">
        <v>1</v>
      </c>
      <c r="N44" s="5">
        <v>40593</v>
      </c>
      <c r="O44" s="3">
        <v>27</v>
      </c>
    </row>
    <row r="45" spans="1:15" x14ac:dyDescent="0.3">
      <c r="A45" s="1">
        <v>8</v>
      </c>
      <c r="B45" s="1">
        <v>5</v>
      </c>
      <c r="C45" s="1">
        <v>12</v>
      </c>
      <c r="D45" s="1">
        <v>1</v>
      </c>
      <c r="E45" s="1">
        <v>0</v>
      </c>
      <c r="F45" s="1">
        <v>160</v>
      </c>
      <c r="G45" s="1">
        <v>7</v>
      </c>
      <c r="H45">
        <v>0.15</v>
      </c>
      <c r="I45" s="1">
        <v>1</v>
      </c>
      <c r="J45">
        <v>-0.98</v>
      </c>
      <c r="K45">
        <v>0.63</v>
      </c>
      <c r="L45" t="s">
        <v>24</v>
      </c>
      <c r="M45">
        <v>1</v>
      </c>
      <c r="N45" s="5">
        <v>40601</v>
      </c>
      <c r="O45" s="3">
        <v>8</v>
      </c>
    </row>
    <row r="46" spans="1:15" x14ac:dyDescent="0.3">
      <c r="A46" s="1">
        <v>34</v>
      </c>
      <c r="B46" s="1">
        <v>53</v>
      </c>
      <c r="C46" s="1">
        <v>82</v>
      </c>
      <c r="D46" s="1">
        <v>3</v>
      </c>
      <c r="E46" s="1">
        <v>0</v>
      </c>
      <c r="F46" s="2">
        <v>64.150000000000006</v>
      </c>
      <c r="G46" s="1">
        <v>4</v>
      </c>
      <c r="H46">
        <v>0.04</v>
      </c>
      <c r="I46" s="1">
        <v>2</v>
      </c>
      <c r="J46">
        <v>0.65</v>
      </c>
      <c r="K46">
        <v>-0.88</v>
      </c>
      <c r="L46" t="s">
        <v>25</v>
      </c>
      <c r="M46">
        <v>1</v>
      </c>
      <c r="N46" s="5">
        <v>40608</v>
      </c>
      <c r="O46" s="3">
        <v>7</v>
      </c>
    </row>
    <row r="47" spans="1:15" x14ac:dyDescent="0.3">
      <c r="A47" s="1">
        <v>12</v>
      </c>
      <c r="B47" s="1">
        <v>20</v>
      </c>
      <c r="C47" s="1">
        <v>16</v>
      </c>
      <c r="D47" s="1">
        <v>2</v>
      </c>
      <c r="E47" s="1">
        <v>0</v>
      </c>
      <c r="F47" s="1">
        <v>60</v>
      </c>
      <c r="G47" s="1">
        <v>5</v>
      </c>
      <c r="H47">
        <v>0.15</v>
      </c>
      <c r="I47" s="1">
        <v>2</v>
      </c>
      <c r="J47">
        <v>-1.41</v>
      </c>
      <c r="K47">
        <v>0.99</v>
      </c>
      <c r="L47" t="s">
        <v>26</v>
      </c>
      <c r="M47">
        <v>1</v>
      </c>
      <c r="N47" s="5">
        <v>40611</v>
      </c>
      <c r="O47" s="3">
        <v>3</v>
      </c>
    </row>
    <row r="48" spans="1:15" x14ac:dyDescent="0.3">
      <c r="A48" s="1">
        <v>1</v>
      </c>
      <c r="B48" s="1">
        <v>3</v>
      </c>
      <c r="C48" s="1">
        <v>2</v>
      </c>
      <c r="D48" s="1">
        <v>0</v>
      </c>
      <c r="E48" s="1">
        <v>0</v>
      </c>
      <c r="F48" s="2">
        <v>33.33</v>
      </c>
      <c r="G48" s="1">
        <v>7</v>
      </c>
      <c r="H48">
        <v>0.65</v>
      </c>
      <c r="I48" s="1">
        <v>1</v>
      </c>
      <c r="J48">
        <v>0.39</v>
      </c>
      <c r="K48">
        <v>0.18</v>
      </c>
      <c r="L48" t="s">
        <v>20</v>
      </c>
      <c r="M48">
        <v>1</v>
      </c>
      <c r="N48" s="5">
        <v>40614</v>
      </c>
      <c r="O48" s="3">
        <v>3</v>
      </c>
    </row>
    <row r="49" spans="1:15" x14ac:dyDescent="0.3">
      <c r="A49" s="1">
        <v>59</v>
      </c>
      <c r="B49" s="1">
        <v>76</v>
      </c>
      <c r="C49" s="1">
        <v>128</v>
      </c>
      <c r="D49" s="1">
        <v>5</v>
      </c>
      <c r="E49" s="1">
        <v>0</v>
      </c>
      <c r="F49" s="2">
        <v>77.63</v>
      </c>
      <c r="G49" s="1">
        <v>3</v>
      </c>
      <c r="H49">
        <v>0.15</v>
      </c>
      <c r="I49" s="1">
        <v>1</v>
      </c>
      <c r="J49">
        <v>-0.06</v>
      </c>
      <c r="K49">
        <v>0.4</v>
      </c>
      <c r="L49" t="s">
        <v>17</v>
      </c>
      <c r="M49">
        <v>1</v>
      </c>
      <c r="N49" s="5">
        <v>40622</v>
      </c>
      <c r="O49" s="3">
        <v>8</v>
      </c>
    </row>
    <row r="50" spans="1:15" x14ac:dyDescent="0.3">
      <c r="A50" s="1">
        <v>24</v>
      </c>
      <c r="B50" s="1">
        <v>33</v>
      </c>
      <c r="C50" s="1">
        <v>38</v>
      </c>
      <c r="D50" s="1">
        <v>1</v>
      </c>
      <c r="E50" s="1">
        <v>0</v>
      </c>
      <c r="F50" s="2">
        <v>72.72</v>
      </c>
      <c r="G50" s="1">
        <v>4</v>
      </c>
      <c r="H50">
        <v>0.65</v>
      </c>
      <c r="I50" s="1">
        <v>2</v>
      </c>
      <c r="J50">
        <v>-0.42</v>
      </c>
      <c r="K50">
        <v>0.72</v>
      </c>
      <c r="L50" t="s">
        <v>18</v>
      </c>
      <c r="M50">
        <v>1</v>
      </c>
      <c r="N50" s="5">
        <v>40626</v>
      </c>
      <c r="O50" s="3">
        <v>4</v>
      </c>
    </row>
    <row r="51" spans="1:15" x14ac:dyDescent="0.3">
      <c r="A51" s="1">
        <v>9</v>
      </c>
      <c r="B51" s="1">
        <v>21</v>
      </c>
      <c r="C51" s="1">
        <v>20</v>
      </c>
      <c r="D51" s="1">
        <v>0</v>
      </c>
      <c r="E51" s="1">
        <v>0</v>
      </c>
      <c r="F51" s="2">
        <v>42.85</v>
      </c>
      <c r="G51" s="1">
        <v>4</v>
      </c>
      <c r="H51">
        <v>0.65</v>
      </c>
      <c r="I51" s="1">
        <v>1</v>
      </c>
      <c r="J51">
        <v>-0.15</v>
      </c>
      <c r="K51">
        <v>0.11</v>
      </c>
      <c r="L51" t="s">
        <v>16</v>
      </c>
      <c r="M51">
        <v>1</v>
      </c>
      <c r="N51" s="5">
        <v>40632</v>
      </c>
      <c r="O51" s="3">
        <v>6</v>
      </c>
    </row>
    <row r="52" spans="1:15" x14ac:dyDescent="0.3">
      <c r="A52" s="1">
        <v>35</v>
      </c>
      <c r="B52" s="1">
        <v>49</v>
      </c>
      <c r="C52" s="1">
        <v>69</v>
      </c>
      <c r="D52" s="1">
        <v>4</v>
      </c>
      <c r="E52" s="1">
        <v>0</v>
      </c>
      <c r="F52" s="2">
        <v>71.42</v>
      </c>
      <c r="G52" s="1">
        <v>4</v>
      </c>
      <c r="H52">
        <v>0.65</v>
      </c>
      <c r="I52" s="1">
        <v>2</v>
      </c>
      <c r="J52">
        <v>-0.14000000000000001</v>
      </c>
      <c r="K52">
        <v>0.3</v>
      </c>
      <c r="L52" t="s">
        <v>15</v>
      </c>
      <c r="M52">
        <v>1</v>
      </c>
      <c r="N52" s="5">
        <v>40635</v>
      </c>
      <c r="O52" s="3">
        <v>3</v>
      </c>
    </row>
    <row r="53" spans="1:15" x14ac:dyDescent="0.3">
      <c r="A53" s="1">
        <v>2</v>
      </c>
      <c r="B53" s="1">
        <v>8</v>
      </c>
      <c r="C53" s="1">
        <v>5</v>
      </c>
      <c r="D53" s="1">
        <v>0</v>
      </c>
      <c r="E53" s="1">
        <v>0</v>
      </c>
      <c r="F53" s="1">
        <v>25</v>
      </c>
      <c r="G53" s="1">
        <v>3</v>
      </c>
      <c r="H53">
        <v>0.65</v>
      </c>
      <c r="I53" s="1">
        <v>2</v>
      </c>
      <c r="J53">
        <v>-0.06</v>
      </c>
      <c r="K53">
        <v>0.4</v>
      </c>
      <c r="L53" t="s">
        <v>17</v>
      </c>
      <c r="M53">
        <v>0</v>
      </c>
      <c r="N53" s="5">
        <v>40700</v>
      </c>
      <c r="O53" s="3">
        <v>65</v>
      </c>
    </row>
    <row r="54" spans="1:15" x14ac:dyDescent="0.3">
      <c r="A54" s="1">
        <v>81</v>
      </c>
      <c r="B54" s="1">
        <v>103</v>
      </c>
      <c r="C54" s="1">
        <v>118</v>
      </c>
      <c r="D54" s="1">
        <v>6</v>
      </c>
      <c r="E54" s="1">
        <v>1</v>
      </c>
      <c r="F54" s="2">
        <v>78.64</v>
      </c>
      <c r="G54" s="1">
        <v>3</v>
      </c>
      <c r="H54">
        <v>0.65</v>
      </c>
      <c r="I54" s="1">
        <v>2</v>
      </c>
      <c r="J54">
        <v>-0.06</v>
      </c>
      <c r="K54">
        <v>0.4</v>
      </c>
      <c r="L54" t="s">
        <v>17</v>
      </c>
      <c r="M54">
        <v>0</v>
      </c>
      <c r="N54" s="5">
        <v>40702</v>
      </c>
      <c r="O54" s="3">
        <v>2</v>
      </c>
    </row>
    <row r="55" spans="1:15" x14ac:dyDescent="0.3">
      <c r="A55" s="1">
        <v>0</v>
      </c>
      <c r="B55" s="1">
        <v>1</v>
      </c>
      <c r="C55" s="1">
        <v>1</v>
      </c>
      <c r="D55" s="1">
        <v>0</v>
      </c>
      <c r="E55" s="1">
        <v>0</v>
      </c>
      <c r="F55" s="1">
        <v>0</v>
      </c>
      <c r="G55" s="1">
        <v>3</v>
      </c>
      <c r="H55">
        <v>0.14000000000000001</v>
      </c>
      <c r="I55" s="1">
        <v>2</v>
      </c>
      <c r="J55">
        <v>-0.06</v>
      </c>
      <c r="K55">
        <v>0.4</v>
      </c>
      <c r="L55" t="s">
        <v>17</v>
      </c>
      <c r="M55">
        <v>0</v>
      </c>
      <c r="N55" s="5">
        <v>40705</v>
      </c>
      <c r="O55" s="3">
        <v>3</v>
      </c>
    </row>
    <row r="56" spans="1:15" x14ac:dyDescent="0.3">
      <c r="A56" s="1">
        <v>22</v>
      </c>
      <c r="B56" s="1">
        <v>33</v>
      </c>
      <c r="C56" s="1">
        <v>68</v>
      </c>
      <c r="D56" s="1">
        <v>1</v>
      </c>
      <c r="E56" s="1">
        <v>0</v>
      </c>
      <c r="F56" s="2">
        <v>66.66</v>
      </c>
      <c r="G56" s="1">
        <v>3</v>
      </c>
      <c r="H56">
        <v>0.02</v>
      </c>
      <c r="I56" s="1">
        <v>2</v>
      </c>
      <c r="J56">
        <v>-0.06</v>
      </c>
      <c r="K56">
        <v>0.4</v>
      </c>
      <c r="L56" t="s">
        <v>17</v>
      </c>
      <c r="M56">
        <v>0</v>
      </c>
      <c r="N56" s="5">
        <v>40707</v>
      </c>
      <c r="O56" s="3">
        <v>2</v>
      </c>
    </row>
    <row r="57" spans="1:15" x14ac:dyDescent="0.3">
      <c r="A57" s="1">
        <v>94</v>
      </c>
      <c r="B57" s="1">
        <v>104</v>
      </c>
      <c r="C57" s="1">
        <v>135</v>
      </c>
      <c r="D57" s="1">
        <v>10</v>
      </c>
      <c r="E57" s="1">
        <v>0</v>
      </c>
      <c r="F57" s="2">
        <v>90.38</v>
      </c>
      <c r="G57" s="1">
        <v>3</v>
      </c>
      <c r="H57">
        <v>0.04</v>
      </c>
      <c r="I57" s="1">
        <v>1</v>
      </c>
      <c r="J57">
        <v>-0.06</v>
      </c>
      <c r="K57">
        <v>0.4</v>
      </c>
      <c r="L57" t="s">
        <v>17</v>
      </c>
      <c r="M57">
        <v>0</v>
      </c>
      <c r="N57" s="5">
        <v>40710</v>
      </c>
      <c r="O57" s="3">
        <v>3</v>
      </c>
    </row>
    <row r="58" spans="1:15" x14ac:dyDescent="0.3">
      <c r="A58" s="1">
        <v>9</v>
      </c>
      <c r="B58" s="1">
        <v>9</v>
      </c>
      <c r="C58" s="1">
        <v>9</v>
      </c>
      <c r="D58" s="1">
        <v>0</v>
      </c>
      <c r="E58" s="1">
        <v>0</v>
      </c>
      <c r="F58" s="1">
        <v>100</v>
      </c>
      <c r="G58" s="1">
        <v>4</v>
      </c>
      <c r="H58">
        <v>0.65</v>
      </c>
      <c r="I58" s="1">
        <v>1</v>
      </c>
      <c r="J58">
        <v>-0.98</v>
      </c>
      <c r="K58">
        <v>0.63</v>
      </c>
      <c r="L58" t="s">
        <v>24</v>
      </c>
      <c r="M58">
        <v>0</v>
      </c>
      <c r="N58" s="5">
        <v>40792</v>
      </c>
      <c r="O58" s="3">
        <v>82</v>
      </c>
    </row>
    <row r="59" spans="1:15" x14ac:dyDescent="0.3">
      <c r="A59" s="1">
        <v>7</v>
      </c>
      <c r="B59" s="1">
        <v>18</v>
      </c>
      <c r="C59" s="1">
        <v>18</v>
      </c>
      <c r="D59" s="1">
        <v>0</v>
      </c>
      <c r="E59" s="1">
        <v>0</v>
      </c>
      <c r="F59" s="2">
        <v>38.880000000000003</v>
      </c>
      <c r="G59" s="1">
        <v>4</v>
      </c>
      <c r="H59">
        <v>0.65</v>
      </c>
      <c r="I59" s="1">
        <v>1</v>
      </c>
      <c r="J59">
        <v>-0.98</v>
      </c>
      <c r="K59">
        <v>0.63</v>
      </c>
      <c r="L59" t="s">
        <v>24</v>
      </c>
      <c r="M59">
        <v>0</v>
      </c>
      <c r="N59" s="5">
        <v>40795</v>
      </c>
      <c r="O59" s="3">
        <v>3</v>
      </c>
    </row>
    <row r="60" spans="1:15" x14ac:dyDescent="0.3">
      <c r="A60" s="1">
        <v>16</v>
      </c>
      <c r="B60" s="1">
        <v>36</v>
      </c>
      <c r="C60" s="1">
        <v>40</v>
      </c>
      <c r="D60" s="1">
        <v>1</v>
      </c>
      <c r="E60" s="1">
        <v>0</v>
      </c>
      <c r="F60" s="2">
        <v>44.44</v>
      </c>
      <c r="G60" s="1">
        <v>4</v>
      </c>
      <c r="H60">
        <v>0.65</v>
      </c>
      <c r="I60" s="1">
        <v>1</v>
      </c>
      <c r="J60">
        <v>-0.98</v>
      </c>
      <c r="K60">
        <v>0.63</v>
      </c>
      <c r="L60" t="s">
        <v>24</v>
      </c>
      <c r="M60">
        <v>0</v>
      </c>
      <c r="N60" s="5">
        <v>40797</v>
      </c>
      <c r="O60" s="3">
        <v>2</v>
      </c>
    </row>
    <row r="61" spans="1:15" x14ac:dyDescent="0.3">
      <c r="A61" s="1">
        <v>107</v>
      </c>
      <c r="B61" s="1">
        <v>93</v>
      </c>
      <c r="C61" s="1">
        <v>102</v>
      </c>
      <c r="D61" s="1">
        <v>9</v>
      </c>
      <c r="E61" s="1">
        <v>1</v>
      </c>
      <c r="F61" s="2">
        <v>115.05</v>
      </c>
      <c r="G61" s="1">
        <v>4</v>
      </c>
      <c r="H61">
        <v>1E-3</v>
      </c>
      <c r="I61" s="1">
        <v>1</v>
      </c>
      <c r="J61">
        <v>-0.98</v>
      </c>
      <c r="K61">
        <v>0.63</v>
      </c>
      <c r="L61" t="s">
        <v>24</v>
      </c>
      <c r="M61">
        <v>0</v>
      </c>
      <c r="N61" s="5">
        <v>40802</v>
      </c>
      <c r="O61" s="3">
        <v>5</v>
      </c>
    </row>
    <row r="62" spans="1:15" x14ac:dyDescent="0.3">
      <c r="A62" s="1">
        <v>37</v>
      </c>
      <c r="B62" s="1">
        <v>63</v>
      </c>
      <c r="C62" s="1">
        <v>70</v>
      </c>
      <c r="D62" s="1">
        <v>0</v>
      </c>
      <c r="E62" s="1">
        <v>0</v>
      </c>
      <c r="F62" s="2">
        <v>58.73</v>
      </c>
      <c r="G62" s="1">
        <v>4</v>
      </c>
      <c r="H62">
        <v>0.65</v>
      </c>
      <c r="I62" s="1">
        <v>1</v>
      </c>
      <c r="J62">
        <v>-0.98</v>
      </c>
      <c r="K62">
        <v>0.63</v>
      </c>
      <c r="L62" t="s">
        <v>24</v>
      </c>
      <c r="M62">
        <v>1</v>
      </c>
      <c r="N62" s="5">
        <v>40830</v>
      </c>
      <c r="O62" s="3">
        <v>28</v>
      </c>
    </row>
    <row r="63" spans="1:15" x14ac:dyDescent="0.3">
      <c r="A63" s="1">
        <v>112</v>
      </c>
      <c r="B63" s="1">
        <v>98</v>
      </c>
      <c r="C63" s="1">
        <v>134</v>
      </c>
      <c r="D63" s="1">
        <v>16</v>
      </c>
      <c r="E63" s="1">
        <v>0</v>
      </c>
      <c r="F63" s="2">
        <v>114.28</v>
      </c>
      <c r="G63" s="1">
        <v>4</v>
      </c>
      <c r="H63">
        <v>0.15</v>
      </c>
      <c r="I63" s="1">
        <v>2</v>
      </c>
      <c r="J63">
        <v>-0.98</v>
      </c>
      <c r="K63">
        <v>0.63</v>
      </c>
      <c r="L63" t="s">
        <v>24</v>
      </c>
      <c r="M63">
        <v>1</v>
      </c>
      <c r="N63" s="5">
        <v>40833</v>
      </c>
      <c r="O63" s="3">
        <v>3</v>
      </c>
    </row>
    <row r="64" spans="1:15" x14ac:dyDescent="0.3">
      <c r="A64" s="1">
        <v>35</v>
      </c>
      <c r="B64" s="1">
        <v>30</v>
      </c>
      <c r="C64" s="1">
        <v>42</v>
      </c>
      <c r="D64" s="1">
        <v>5</v>
      </c>
      <c r="E64" s="1">
        <v>0</v>
      </c>
      <c r="F64" s="2">
        <v>116.66</v>
      </c>
      <c r="G64" s="1">
        <v>4</v>
      </c>
      <c r="H64">
        <v>0.14000000000000001</v>
      </c>
      <c r="I64" s="1">
        <v>2</v>
      </c>
      <c r="J64">
        <v>-0.98</v>
      </c>
      <c r="K64">
        <v>0.63</v>
      </c>
      <c r="L64" t="s">
        <v>24</v>
      </c>
      <c r="M64">
        <v>1</v>
      </c>
      <c r="N64" s="5">
        <v>40836</v>
      </c>
      <c r="O64" s="3">
        <v>3</v>
      </c>
    </row>
    <row r="65" spans="1:15" x14ac:dyDescent="0.3">
      <c r="A65" s="1">
        <v>86</v>
      </c>
      <c r="B65" s="1">
        <v>99</v>
      </c>
      <c r="C65" s="1" cm="1">
        <f t="array" ref="C65">TREND(C2:C64,A2:B64,A65:B65)</f>
        <v>132.22749247924577</v>
      </c>
      <c r="D65" s="1">
        <v>11</v>
      </c>
      <c r="E65" s="1">
        <v>0</v>
      </c>
      <c r="F65" s="2">
        <v>86.86</v>
      </c>
      <c r="G65" s="1">
        <v>4</v>
      </c>
      <c r="H65">
        <v>0.15</v>
      </c>
      <c r="I65" s="1">
        <v>2</v>
      </c>
      <c r="J65">
        <v>-0.98</v>
      </c>
      <c r="K65">
        <v>0.63</v>
      </c>
      <c r="L65" t="s">
        <v>24</v>
      </c>
      <c r="M65">
        <v>1</v>
      </c>
      <c r="N65" s="5">
        <v>40839</v>
      </c>
      <c r="O65" s="3">
        <v>3</v>
      </c>
    </row>
    <row r="66" spans="1:15" x14ac:dyDescent="0.3">
      <c r="A66" s="1">
        <v>0</v>
      </c>
      <c r="B66" s="1">
        <v>5</v>
      </c>
      <c r="C66" s="1">
        <v>5</v>
      </c>
      <c r="D66" s="1">
        <v>0</v>
      </c>
      <c r="E66" s="1">
        <v>0</v>
      </c>
      <c r="F66" s="1">
        <v>0</v>
      </c>
      <c r="G66" s="1">
        <v>3</v>
      </c>
      <c r="H66">
        <v>0.15</v>
      </c>
      <c r="I66" s="1">
        <v>1</v>
      </c>
      <c r="J66">
        <v>-0.98</v>
      </c>
      <c r="K66">
        <v>0.63</v>
      </c>
      <c r="L66" t="s">
        <v>24</v>
      </c>
      <c r="M66">
        <v>1</v>
      </c>
      <c r="N66" s="5">
        <v>40841</v>
      </c>
      <c r="O66" s="3">
        <v>2</v>
      </c>
    </row>
    <row r="67" spans="1:15" x14ac:dyDescent="0.3">
      <c r="A67" s="1">
        <v>3</v>
      </c>
      <c r="B67" s="1">
        <v>6</v>
      </c>
      <c r="C67" s="1">
        <v>13</v>
      </c>
      <c r="D67" s="1">
        <v>0</v>
      </c>
      <c r="E67" s="1">
        <v>0</v>
      </c>
      <c r="F67" s="1">
        <v>50</v>
      </c>
      <c r="G67" s="1">
        <v>4</v>
      </c>
      <c r="H67">
        <v>0.15</v>
      </c>
      <c r="I67" s="1">
        <v>2</v>
      </c>
      <c r="J67">
        <v>-0.06</v>
      </c>
      <c r="K67">
        <v>0.4</v>
      </c>
      <c r="L67" t="s">
        <v>17</v>
      </c>
      <c r="M67">
        <v>1</v>
      </c>
      <c r="N67" s="5">
        <v>40876</v>
      </c>
      <c r="O67" s="3">
        <v>35</v>
      </c>
    </row>
    <row r="68" spans="1:15" x14ac:dyDescent="0.3">
      <c r="A68" s="1">
        <v>117</v>
      </c>
      <c r="B68" s="1">
        <v>123</v>
      </c>
      <c r="C68" s="1">
        <v>154</v>
      </c>
      <c r="D68" s="1">
        <v>14</v>
      </c>
      <c r="E68" s="1">
        <v>0</v>
      </c>
      <c r="F68" s="2">
        <v>95.12</v>
      </c>
      <c r="G68" s="1">
        <v>4</v>
      </c>
      <c r="H68">
        <v>0.65</v>
      </c>
      <c r="I68" s="1">
        <v>2</v>
      </c>
      <c r="J68">
        <v>-0.06</v>
      </c>
      <c r="K68">
        <v>0.4</v>
      </c>
      <c r="L68" t="s">
        <v>17</v>
      </c>
      <c r="M68">
        <v>1</v>
      </c>
      <c r="N68" s="5">
        <v>40879</v>
      </c>
      <c r="O68" s="3">
        <v>3</v>
      </c>
    </row>
    <row r="69" spans="1:15" x14ac:dyDescent="0.3">
      <c r="A69" s="1">
        <v>20</v>
      </c>
      <c r="B69" s="1">
        <v>30</v>
      </c>
      <c r="C69" s="1">
        <v>21</v>
      </c>
      <c r="D69" s="1">
        <v>3</v>
      </c>
      <c r="E69" s="1">
        <v>0</v>
      </c>
      <c r="F69" s="2">
        <v>66.66</v>
      </c>
      <c r="G69" s="1">
        <v>4</v>
      </c>
      <c r="H69">
        <v>0.14000000000000001</v>
      </c>
      <c r="I69" s="1">
        <v>2</v>
      </c>
      <c r="J69">
        <v>-0.06</v>
      </c>
      <c r="K69">
        <v>0.4</v>
      </c>
      <c r="L69" t="s">
        <v>17</v>
      </c>
      <c r="M69">
        <v>1</v>
      </c>
      <c r="N69" s="5">
        <v>40882</v>
      </c>
      <c r="O69" s="3">
        <v>3</v>
      </c>
    </row>
    <row r="70" spans="1:15" x14ac:dyDescent="0.3">
      <c r="A70" s="1">
        <v>23</v>
      </c>
      <c r="B70" s="1">
        <v>11</v>
      </c>
      <c r="C70" s="1">
        <v>15</v>
      </c>
      <c r="D70" s="1">
        <v>3</v>
      </c>
      <c r="E70" s="1">
        <v>0</v>
      </c>
      <c r="F70" s="2">
        <v>209.09</v>
      </c>
      <c r="G70" s="1">
        <v>6</v>
      </c>
      <c r="H70">
        <v>0.15</v>
      </c>
      <c r="I70" s="1">
        <v>1</v>
      </c>
      <c r="J70">
        <v>-0.06</v>
      </c>
      <c r="K70">
        <v>0.4</v>
      </c>
      <c r="L70" t="s">
        <v>17</v>
      </c>
      <c r="M70">
        <v>1</v>
      </c>
      <c r="N70" s="5">
        <v>40885</v>
      </c>
      <c r="O70" s="3">
        <v>3</v>
      </c>
    </row>
    <row r="71" spans="1:15" x14ac:dyDescent="0.3">
      <c r="A71" s="1">
        <v>80</v>
      </c>
      <c r="B71" s="1">
        <v>85</v>
      </c>
      <c r="C71" s="1">
        <v>99</v>
      </c>
      <c r="D71" s="1">
        <v>5</v>
      </c>
      <c r="E71" s="1">
        <v>0</v>
      </c>
      <c r="F71" s="2">
        <v>94.11</v>
      </c>
      <c r="G71" s="1">
        <v>5</v>
      </c>
      <c r="H71">
        <v>0.65</v>
      </c>
      <c r="I71" s="1">
        <v>1</v>
      </c>
      <c r="J71">
        <v>-0.06</v>
      </c>
      <c r="K71">
        <v>0.4</v>
      </c>
      <c r="L71" t="s">
        <v>17</v>
      </c>
      <c r="M71">
        <v>1</v>
      </c>
      <c r="N71" s="5">
        <v>40888</v>
      </c>
      <c r="O71" s="3">
        <v>3</v>
      </c>
    </row>
    <row r="72" spans="1:15" x14ac:dyDescent="0.3">
      <c r="A72" s="1">
        <v>31</v>
      </c>
      <c r="B72" s="1">
        <v>34</v>
      </c>
      <c r="C72" s="1">
        <v>30</v>
      </c>
      <c r="D72" s="1">
        <v>3</v>
      </c>
      <c r="E72" s="1">
        <v>0</v>
      </c>
      <c r="F72" s="2">
        <v>91.17</v>
      </c>
      <c r="G72" s="1">
        <v>3</v>
      </c>
      <c r="H72">
        <v>0.65</v>
      </c>
      <c r="I72" s="1">
        <v>2</v>
      </c>
      <c r="J72">
        <v>-0.42</v>
      </c>
      <c r="K72">
        <v>0.72</v>
      </c>
      <c r="L72" t="s">
        <v>18</v>
      </c>
      <c r="M72">
        <v>0</v>
      </c>
      <c r="N72" s="5">
        <v>40944</v>
      </c>
      <c r="O72" s="3">
        <v>56</v>
      </c>
    </row>
    <row r="73" spans="1:15" x14ac:dyDescent="0.3">
      <c r="A73" s="1">
        <v>77</v>
      </c>
      <c r="B73" s="1">
        <v>94</v>
      </c>
      <c r="C73" s="1">
        <v>156</v>
      </c>
      <c r="D73" s="1">
        <v>8</v>
      </c>
      <c r="E73" s="1">
        <v>1</v>
      </c>
      <c r="F73" s="2">
        <v>81.91</v>
      </c>
      <c r="G73" s="1">
        <v>3</v>
      </c>
      <c r="H73">
        <v>0.04</v>
      </c>
      <c r="I73" s="1">
        <v>2</v>
      </c>
      <c r="J73">
        <v>-0.14000000000000001</v>
      </c>
      <c r="K73">
        <v>0.3</v>
      </c>
      <c r="L73" t="s">
        <v>15</v>
      </c>
      <c r="M73">
        <v>0</v>
      </c>
      <c r="N73" s="5">
        <v>40947</v>
      </c>
      <c r="O73" s="3">
        <v>3</v>
      </c>
    </row>
    <row r="74" spans="1:15" x14ac:dyDescent="0.3">
      <c r="A74" s="1">
        <v>18</v>
      </c>
      <c r="B74" s="1">
        <v>28</v>
      </c>
      <c r="C74" s="1">
        <v>41</v>
      </c>
      <c r="D74" s="1">
        <v>1</v>
      </c>
      <c r="E74" s="1">
        <v>0</v>
      </c>
      <c r="F74" s="2">
        <v>64.28</v>
      </c>
      <c r="G74" s="1">
        <v>3</v>
      </c>
      <c r="H74">
        <v>0.65</v>
      </c>
      <c r="I74" s="1">
        <v>2</v>
      </c>
      <c r="J74">
        <v>-0.42</v>
      </c>
      <c r="K74">
        <v>0.72</v>
      </c>
      <c r="L74" t="s">
        <v>18</v>
      </c>
      <c r="M74">
        <v>0</v>
      </c>
      <c r="N74" s="5">
        <v>40951</v>
      </c>
      <c r="O74" s="3">
        <v>4</v>
      </c>
    </row>
    <row r="75" spans="1:15" x14ac:dyDescent="0.3">
      <c r="A75" s="1">
        <v>15</v>
      </c>
      <c r="B75" s="1">
        <v>25</v>
      </c>
      <c r="C75" s="1">
        <v>32</v>
      </c>
      <c r="D75" s="1">
        <v>1</v>
      </c>
      <c r="E75" s="1">
        <v>0</v>
      </c>
      <c r="F75" s="1">
        <v>60</v>
      </c>
      <c r="G75" s="1">
        <v>3</v>
      </c>
      <c r="H75">
        <v>0.14000000000000001</v>
      </c>
      <c r="I75" s="1">
        <v>2</v>
      </c>
      <c r="J75">
        <v>-0.14000000000000001</v>
      </c>
      <c r="K75">
        <v>0.3</v>
      </c>
      <c r="L75" t="s">
        <v>15</v>
      </c>
      <c r="M75">
        <v>0</v>
      </c>
      <c r="N75" s="5">
        <v>40953</v>
      </c>
      <c r="O75" s="3">
        <v>2</v>
      </c>
    </row>
    <row r="76" spans="1:15" x14ac:dyDescent="0.3">
      <c r="A76" s="1">
        <v>12</v>
      </c>
      <c r="B76" s="1">
        <v>25</v>
      </c>
      <c r="C76" s="1">
        <v>44</v>
      </c>
      <c r="D76" s="1">
        <v>0</v>
      </c>
      <c r="E76" s="1">
        <v>0</v>
      </c>
      <c r="F76" s="1">
        <v>48</v>
      </c>
      <c r="G76" s="1">
        <v>3</v>
      </c>
      <c r="H76">
        <v>0.65</v>
      </c>
      <c r="I76" s="1">
        <v>2</v>
      </c>
      <c r="J76">
        <v>-0.42</v>
      </c>
      <c r="K76">
        <v>0.72</v>
      </c>
      <c r="L76" t="s">
        <v>18</v>
      </c>
      <c r="M76">
        <v>0</v>
      </c>
      <c r="N76" s="5">
        <v>40958</v>
      </c>
      <c r="O76" s="3">
        <v>5</v>
      </c>
    </row>
    <row r="77" spans="1:15" x14ac:dyDescent="0.3">
      <c r="A77" s="1">
        <v>66</v>
      </c>
      <c r="B77" s="1">
        <v>83</v>
      </c>
      <c r="C77" s="1">
        <v>116</v>
      </c>
      <c r="D77" s="1">
        <v>2</v>
      </c>
      <c r="E77" s="1">
        <v>0</v>
      </c>
      <c r="F77" s="2">
        <v>79.510000000000005</v>
      </c>
      <c r="G77" s="1">
        <v>4</v>
      </c>
      <c r="H77">
        <v>0.65</v>
      </c>
      <c r="I77" s="1">
        <v>2</v>
      </c>
      <c r="J77">
        <v>-0.14000000000000001</v>
      </c>
      <c r="K77">
        <v>0.3</v>
      </c>
      <c r="L77" t="s">
        <v>15</v>
      </c>
      <c r="M77">
        <v>0</v>
      </c>
      <c r="N77" s="5">
        <v>40960</v>
      </c>
      <c r="O77" s="3">
        <v>2</v>
      </c>
    </row>
    <row r="78" spans="1:15" x14ac:dyDescent="0.3">
      <c r="A78" s="1">
        <v>21</v>
      </c>
      <c r="B78" s="1">
        <v>27</v>
      </c>
      <c r="C78" s="1">
        <v>36</v>
      </c>
      <c r="D78" s="1">
        <v>2</v>
      </c>
      <c r="E78" s="1">
        <v>0</v>
      </c>
      <c r="F78" s="2">
        <v>77.77</v>
      </c>
      <c r="G78" s="1">
        <v>4</v>
      </c>
      <c r="H78">
        <v>0.65</v>
      </c>
      <c r="I78" s="1">
        <v>2</v>
      </c>
      <c r="J78">
        <v>-0.42</v>
      </c>
      <c r="K78">
        <v>0.72</v>
      </c>
      <c r="L78" t="s">
        <v>18</v>
      </c>
      <c r="M78">
        <v>0</v>
      </c>
      <c r="N78" s="5">
        <v>40965</v>
      </c>
      <c r="O78" s="3">
        <v>5</v>
      </c>
    </row>
    <row r="79" spans="1:15" x14ac:dyDescent="0.3">
      <c r="A79" s="1">
        <v>133</v>
      </c>
      <c r="B79" s="1">
        <v>86</v>
      </c>
      <c r="C79" s="1">
        <v>133</v>
      </c>
      <c r="D79" s="1">
        <v>16</v>
      </c>
      <c r="E79" s="1">
        <v>2</v>
      </c>
      <c r="F79" s="2">
        <v>154.65</v>
      </c>
      <c r="G79" s="1">
        <v>4</v>
      </c>
      <c r="H79">
        <v>0.15</v>
      </c>
      <c r="I79" s="1">
        <v>2</v>
      </c>
      <c r="J79">
        <v>-0.14000000000000001</v>
      </c>
      <c r="K79">
        <v>0.3</v>
      </c>
      <c r="L79" t="s">
        <v>15</v>
      </c>
      <c r="M79">
        <v>0</v>
      </c>
      <c r="N79" s="5">
        <v>40967</v>
      </c>
      <c r="O79" s="3">
        <v>2</v>
      </c>
    </row>
    <row r="80" spans="1:15" x14ac:dyDescent="0.3">
      <c r="A80" s="1">
        <v>108</v>
      </c>
      <c r="B80" s="1">
        <v>120</v>
      </c>
      <c r="C80" s="1">
        <v>148</v>
      </c>
      <c r="D80" s="1">
        <v>7</v>
      </c>
      <c r="E80" s="1">
        <v>0</v>
      </c>
      <c r="F80" s="1">
        <v>90</v>
      </c>
      <c r="G80" s="1">
        <v>3</v>
      </c>
      <c r="H80">
        <v>0.65</v>
      </c>
      <c r="I80" s="1">
        <v>1</v>
      </c>
      <c r="J80">
        <v>-0.14000000000000001</v>
      </c>
      <c r="K80">
        <v>0.3</v>
      </c>
      <c r="L80" t="s">
        <v>15</v>
      </c>
      <c r="M80">
        <v>1</v>
      </c>
      <c r="N80" s="5">
        <v>40981</v>
      </c>
      <c r="O80" s="3">
        <v>14</v>
      </c>
    </row>
    <row r="81" spans="1:15" x14ac:dyDescent="0.3">
      <c r="A81" s="1">
        <v>66</v>
      </c>
      <c r="B81" s="1">
        <v>82</v>
      </c>
      <c r="C81" s="1">
        <v>126</v>
      </c>
      <c r="D81" s="1">
        <v>5</v>
      </c>
      <c r="E81" s="1">
        <v>0</v>
      </c>
      <c r="F81" s="2">
        <v>80.48</v>
      </c>
      <c r="G81" s="1">
        <v>3</v>
      </c>
      <c r="H81">
        <v>0.15</v>
      </c>
      <c r="I81" s="1">
        <v>1</v>
      </c>
      <c r="J81">
        <v>0.37</v>
      </c>
      <c r="K81">
        <v>0.11</v>
      </c>
      <c r="L81" t="s">
        <v>19</v>
      </c>
      <c r="M81">
        <v>1</v>
      </c>
      <c r="N81" s="5">
        <v>40984</v>
      </c>
      <c r="O81" s="3">
        <v>3</v>
      </c>
    </row>
    <row r="82" spans="1:15" x14ac:dyDescent="0.3">
      <c r="A82" s="1">
        <v>183</v>
      </c>
      <c r="B82" s="1">
        <v>148</v>
      </c>
      <c r="C82" s="1">
        <v>211</v>
      </c>
      <c r="D82" s="1">
        <v>22</v>
      </c>
      <c r="E82" s="1">
        <v>1</v>
      </c>
      <c r="F82" s="2">
        <v>123.64</v>
      </c>
      <c r="G82" s="1">
        <v>3</v>
      </c>
      <c r="H82">
        <v>0.65</v>
      </c>
      <c r="I82" s="1">
        <v>2</v>
      </c>
      <c r="J82">
        <v>-0.15</v>
      </c>
      <c r="K82">
        <v>0.11</v>
      </c>
      <c r="L82" t="s">
        <v>16</v>
      </c>
      <c r="M82">
        <v>1</v>
      </c>
      <c r="N82" s="5">
        <v>40986</v>
      </c>
      <c r="O82" s="3">
        <v>2</v>
      </c>
    </row>
    <row r="83" spans="1:15" x14ac:dyDescent="0.3">
      <c r="A83" s="1">
        <v>106</v>
      </c>
      <c r="B83" s="1">
        <v>113</v>
      </c>
      <c r="C83" s="1">
        <v>158</v>
      </c>
      <c r="D83" s="1">
        <v>9</v>
      </c>
      <c r="E83" s="1">
        <v>0</v>
      </c>
      <c r="F83" s="4">
        <v>93.8</v>
      </c>
      <c r="G83" s="1">
        <v>3</v>
      </c>
      <c r="H83">
        <v>0.65</v>
      </c>
      <c r="I83" s="1">
        <v>1</v>
      </c>
      <c r="J83">
        <v>-0.14000000000000001</v>
      </c>
      <c r="K83">
        <v>0.3</v>
      </c>
      <c r="L83" t="s">
        <v>15</v>
      </c>
      <c r="M83">
        <v>0</v>
      </c>
      <c r="N83" s="5">
        <v>41111</v>
      </c>
      <c r="O83" s="3">
        <v>125</v>
      </c>
    </row>
    <row r="84" spans="1:15" x14ac:dyDescent="0.3">
      <c r="A84" s="1">
        <v>1</v>
      </c>
      <c r="B84" s="1">
        <v>5</v>
      </c>
      <c r="C84" s="1">
        <v>6</v>
      </c>
      <c r="D84" s="1">
        <v>0</v>
      </c>
      <c r="E84" s="1">
        <v>0</v>
      </c>
      <c r="F84" s="1">
        <v>20</v>
      </c>
      <c r="G84" s="1">
        <v>3</v>
      </c>
      <c r="H84">
        <v>0.65</v>
      </c>
      <c r="I84" s="1">
        <v>1</v>
      </c>
      <c r="J84">
        <v>-0.14000000000000001</v>
      </c>
      <c r="K84">
        <v>0.3</v>
      </c>
      <c r="L84" t="s">
        <v>15</v>
      </c>
      <c r="M84">
        <v>0</v>
      </c>
      <c r="N84" s="5">
        <v>41114</v>
      </c>
      <c r="O84" s="3">
        <v>3</v>
      </c>
    </row>
    <row r="85" spans="1:15" x14ac:dyDescent="0.3">
      <c r="A85" s="1">
        <v>38</v>
      </c>
      <c r="B85" s="1">
        <v>65</v>
      </c>
      <c r="C85" s="1">
        <v>80</v>
      </c>
      <c r="D85" s="1">
        <v>2</v>
      </c>
      <c r="E85" s="1">
        <v>0</v>
      </c>
      <c r="F85" s="2">
        <v>58.46</v>
      </c>
      <c r="G85" s="1">
        <v>3</v>
      </c>
      <c r="H85">
        <v>0.65</v>
      </c>
      <c r="I85" s="1">
        <v>2</v>
      </c>
      <c r="J85">
        <v>-0.14000000000000001</v>
      </c>
      <c r="K85">
        <v>0.3</v>
      </c>
      <c r="L85" t="s">
        <v>15</v>
      </c>
      <c r="M85">
        <v>0</v>
      </c>
      <c r="N85" s="5">
        <v>41118</v>
      </c>
      <c r="O85" s="3">
        <v>4</v>
      </c>
    </row>
    <row r="86" spans="1:15" x14ac:dyDescent="0.3">
      <c r="A86" s="1">
        <v>128</v>
      </c>
      <c r="B86" s="1">
        <v>119</v>
      </c>
      <c r="C86" s="1">
        <v>187</v>
      </c>
      <c r="D86" s="1">
        <v>12</v>
      </c>
      <c r="E86" s="1">
        <v>1</v>
      </c>
      <c r="F86" s="2">
        <v>107.56</v>
      </c>
      <c r="G86" s="1">
        <v>3</v>
      </c>
      <c r="H86">
        <v>0.15</v>
      </c>
      <c r="I86" s="1">
        <v>2</v>
      </c>
      <c r="J86">
        <v>-0.14000000000000001</v>
      </c>
      <c r="K86">
        <v>0.3</v>
      </c>
      <c r="L86" t="s">
        <v>15</v>
      </c>
      <c r="M86">
        <v>0</v>
      </c>
      <c r="N86" s="5">
        <v>41121</v>
      </c>
      <c r="O86" s="3">
        <v>3</v>
      </c>
    </row>
    <row r="87" spans="1:15" x14ac:dyDescent="0.3">
      <c r="A87" s="1">
        <v>23</v>
      </c>
      <c r="B87" s="1">
        <v>35</v>
      </c>
      <c r="C87" s="1">
        <v>42</v>
      </c>
      <c r="D87" s="1">
        <v>2</v>
      </c>
      <c r="E87" s="1">
        <v>0</v>
      </c>
      <c r="F87" s="2">
        <v>65.709999999999994</v>
      </c>
      <c r="G87" s="1">
        <v>3</v>
      </c>
      <c r="H87">
        <v>0.14000000000000001</v>
      </c>
      <c r="I87" s="1">
        <v>1</v>
      </c>
      <c r="J87">
        <v>-0.14000000000000001</v>
      </c>
      <c r="K87">
        <v>0.3</v>
      </c>
      <c r="L87" t="s">
        <v>15</v>
      </c>
      <c r="M87">
        <v>0</v>
      </c>
      <c r="N87" s="5">
        <v>41125</v>
      </c>
      <c r="O87" s="3">
        <v>4</v>
      </c>
    </row>
    <row r="88" spans="1:15" x14ac:dyDescent="0.3">
      <c r="A88" s="1">
        <v>0</v>
      </c>
      <c r="B88" s="1">
        <v>5</v>
      </c>
      <c r="C88" s="1">
        <v>9</v>
      </c>
      <c r="D88" s="1">
        <v>0</v>
      </c>
      <c r="E88" s="1">
        <v>0</v>
      </c>
      <c r="F88" s="1">
        <v>0</v>
      </c>
      <c r="G88" s="1">
        <v>3</v>
      </c>
      <c r="H88">
        <v>0.15</v>
      </c>
      <c r="I88" s="1">
        <v>1</v>
      </c>
      <c r="J88">
        <v>-0.15</v>
      </c>
      <c r="K88">
        <v>0.11</v>
      </c>
      <c r="L88" t="s">
        <v>16</v>
      </c>
      <c r="M88">
        <v>1</v>
      </c>
      <c r="N88" s="5">
        <v>41273</v>
      </c>
      <c r="O88" s="3">
        <v>148</v>
      </c>
    </row>
    <row r="89" spans="1:15" x14ac:dyDescent="0.3">
      <c r="A89" s="1">
        <v>6</v>
      </c>
      <c r="B89" s="1">
        <v>9</v>
      </c>
      <c r="C89" s="1">
        <v>12</v>
      </c>
      <c r="D89" s="1">
        <v>1</v>
      </c>
      <c r="E89" s="1">
        <v>0</v>
      </c>
      <c r="F89" s="2">
        <v>66.66</v>
      </c>
      <c r="G89" s="1">
        <v>3</v>
      </c>
      <c r="H89">
        <v>0.65</v>
      </c>
      <c r="I89" s="1">
        <v>2</v>
      </c>
      <c r="J89">
        <v>-0.15</v>
      </c>
      <c r="K89">
        <v>0.11</v>
      </c>
      <c r="L89" t="s">
        <v>16</v>
      </c>
      <c r="M89">
        <v>1</v>
      </c>
      <c r="N89" s="5">
        <v>41277</v>
      </c>
      <c r="O89" s="3">
        <v>4</v>
      </c>
    </row>
    <row r="90" spans="1:15" x14ac:dyDescent="0.3">
      <c r="A90" s="1">
        <v>7</v>
      </c>
      <c r="B90" s="1">
        <v>17</v>
      </c>
      <c r="C90" s="1">
        <v>25</v>
      </c>
      <c r="D90" s="1">
        <v>1</v>
      </c>
      <c r="E90" s="1">
        <v>0</v>
      </c>
      <c r="F90" s="2">
        <v>41.17</v>
      </c>
      <c r="G90" s="1">
        <v>3</v>
      </c>
      <c r="H90">
        <v>0.65</v>
      </c>
      <c r="I90" s="1">
        <v>1</v>
      </c>
      <c r="J90">
        <v>-0.15</v>
      </c>
      <c r="K90">
        <v>0.11</v>
      </c>
      <c r="L90" t="s">
        <v>16</v>
      </c>
      <c r="M90">
        <v>1</v>
      </c>
      <c r="N90" s="5">
        <v>41280</v>
      </c>
      <c r="O90" s="3">
        <v>3</v>
      </c>
    </row>
    <row r="91" spans="1:15" x14ac:dyDescent="0.3">
      <c r="A91" s="1">
        <v>15</v>
      </c>
      <c r="B91" s="1">
        <v>22</v>
      </c>
      <c r="C91" s="1">
        <v>45</v>
      </c>
      <c r="D91" s="1">
        <v>1</v>
      </c>
      <c r="E91" s="1">
        <v>0</v>
      </c>
      <c r="F91" s="2">
        <v>68.180000000000007</v>
      </c>
      <c r="G91" s="1">
        <v>3</v>
      </c>
      <c r="H91">
        <v>0.65</v>
      </c>
      <c r="I91" s="1">
        <v>2</v>
      </c>
      <c r="J91">
        <v>-0.98</v>
      </c>
      <c r="K91">
        <v>0.63</v>
      </c>
      <c r="L91" t="s">
        <v>24</v>
      </c>
      <c r="M91">
        <v>1</v>
      </c>
      <c r="N91" s="5">
        <v>41285</v>
      </c>
      <c r="O91" s="3">
        <v>5</v>
      </c>
    </row>
    <row r="92" spans="1:15" x14ac:dyDescent="0.3">
      <c r="A92" s="1">
        <v>37</v>
      </c>
      <c r="B92" s="1">
        <v>54</v>
      </c>
      <c r="C92" s="1">
        <v>86</v>
      </c>
      <c r="D92" s="1">
        <v>1</v>
      </c>
      <c r="E92" s="1">
        <v>1</v>
      </c>
      <c r="F92" s="2">
        <v>68.510000000000005</v>
      </c>
      <c r="G92" s="1">
        <v>3</v>
      </c>
      <c r="H92">
        <v>0.65</v>
      </c>
      <c r="I92" s="1">
        <v>1</v>
      </c>
      <c r="J92">
        <v>-0.98</v>
      </c>
      <c r="K92">
        <v>0.63</v>
      </c>
      <c r="L92" t="s">
        <v>24</v>
      </c>
      <c r="M92">
        <v>1</v>
      </c>
      <c r="N92" s="5">
        <v>41289</v>
      </c>
      <c r="O92" s="3">
        <v>4</v>
      </c>
    </row>
    <row r="93" spans="1:15" x14ac:dyDescent="0.3">
      <c r="A93" s="1">
        <v>77</v>
      </c>
      <c r="B93" s="1">
        <v>79</v>
      </c>
      <c r="C93" s="1">
        <v>110</v>
      </c>
      <c r="D93" s="1">
        <v>9</v>
      </c>
      <c r="E93" s="1">
        <v>2</v>
      </c>
      <c r="F93" s="2">
        <v>97.46</v>
      </c>
      <c r="G93" s="1">
        <v>3</v>
      </c>
      <c r="H93">
        <v>0.15</v>
      </c>
      <c r="I93" s="1">
        <v>2</v>
      </c>
      <c r="J93">
        <v>-0.98</v>
      </c>
      <c r="K93">
        <v>0.63</v>
      </c>
      <c r="L93" t="s">
        <v>24</v>
      </c>
      <c r="M93">
        <v>1</v>
      </c>
      <c r="N93" s="5">
        <v>41293</v>
      </c>
      <c r="O93" s="3">
        <v>4</v>
      </c>
    </row>
    <row r="94" spans="1:15" x14ac:dyDescent="0.3">
      <c r="A94" s="1">
        <v>26</v>
      </c>
      <c r="B94" s="1">
        <v>33</v>
      </c>
      <c r="C94" s="1">
        <v>44</v>
      </c>
      <c r="D94" s="1">
        <v>3</v>
      </c>
      <c r="E94" s="1">
        <v>0</v>
      </c>
      <c r="F94" s="2">
        <v>78.78</v>
      </c>
      <c r="G94" s="1">
        <v>3</v>
      </c>
      <c r="H94">
        <v>0.65</v>
      </c>
      <c r="I94" s="1">
        <v>2</v>
      </c>
      <c r="J94">
        <v>-0.98</v>
      </c>
      <c r="K94">
        <v>0.63</v>
      </c>
      <c r="L94" t="s">
        <v>24</v>
      </c>
      <c r="M94">
        <v>1</v>
      </c>
      <c r="N94" s="5">
        <v>41297</v>
      </c>
      <c r="O94" s="3">
        <v>4</v>
      </c>
    </row>
    <row r="95" spans="1:15" x14ac:dyDescent="0.3">
      <c r="A95" s="1">
        <v>0</v>
      </c>
      <c r="B95" s="1">
        <v>1</v>
      </c>
      <c r="C95" s="1">
        <v>1</v>
      </c>
      <c r="D95" s="1">
        <v>0</v>
      </c>
      <c r="E95" s="1">
        <v>0</v>
      </c>
      <c r="F95" s="1">
        <v>0</v>
      </c>
      <c r="G95" s="1">
        <v>3</v>
      </c>
      <c r="H95">
        <v>0.65</v>
      </c>
      <c r="I95" s="1">
        <v>1</v>
      </c>
      <c r="J95">
        <v>-0.98</v>
      </c>
      <c r="K95">
        <v>0.63</v>
      </c>
      <c r="L95" t="s">
        <v>24</v>
      </c>
      <c r="M95">
        <v>1</v>
      </c>
      <c r="N95" s="5">
        <v>41301</v>
      </c>
      <c r="O95" s="3">
        <v>4</v>
      </c>
    </row>
    <row r="96" spans="1:15" x14ac:dyDescent="0.3">
      <c r="A96" s="1">
        <v>31</v>
      </c>
      <c r="B96" s="1">
        <v>41</v>
      </c>
      <c r="C96" s="1">
        <v>46</v>
      </c>
      <c r="D96" s="1">
        <v>2</v>
      </c>
      <c r="E96" s="1">
        <v>0</v>
      </c>
      <c r="F96" s="4">
        <v>75.599999999999994</v>
      </c>
      <c r="G96" s="1">
        <v>3</v>
      </c>
      <c r="H96">
        <v>0.65</v>
      </c>
      <c r="I96" s="1">
        <v>1</v>
      </c>
      <c r="J96">
        <v>0.39</v>
      </c>
      <c r="K96">
        <v>0.18</v>
      </c>
      <c r="L96" t="s">
        <v>20</v>
      </c>
      <c r="M96">
        <v>0</v>
      </c>
      <c r="N96" s="5">
        <v>41431</v>
      </c>
      <c r="O96" s="3">
        <v>130</v>
      </c>
    </row>
    <row r="97" spans="1:15" x14ac:dyDescent="0.3">
      <c r="A97" s="1">
        <v>22</v>
      </c>
      <c r="B97" s="1">
        <v>18</v>
      </c>
      <c r="C97" s="1">
        <v>18</v>
      </c>
      <c r="D97" s="1">
        <v>4</v>
      </c>
      <c r="E97" s="1">
        <v>0</v>
      </c>
      <c r="F97" s="2">
        <v>122.22</v>
      </c>
      <c r="G97" s="1">
        <v>3</v>
      </c>
      <c r="H97">
        <v>0.15</v>
      </c>
      <c r="I97" s="1">
        <v>2</v>
      </c>
      <c r="J97">
        <v>-0.06</v>
      </c>
      <c r="K97">
        <v>0.4</v>
      </c>
      <c r="L97" t="s">
        <v>17</v>
      </c>
      <c r="M97">
        <v>0</v>
      </c>
      <c r="N97" s="5">
        <v>41436</v>
      </c>
      <c r="O97" s="3">
        <v>5</v>
      </c>
    </row>
    <row r="98" spans="1:15" x14ac:dyDescent="0.3">
      <c r="A98" s="1">
        <v>22</v>
      </c>
      <c r="B98" s="1">
        <v>27</v>
      </c>
      <c r="C98" s="1">
        <v>36</v>
      </c>
      <c r="D98" s="1">
        <v>3</v>
      </c>
      <c r="E98" s="1">
        <v>0</v>
      </c>
      <c r="F98" s="2">
        <v>81.48</v>
      </c>
      <c r="G98" s="1">
        <v>3</v>
      </c>
      <c r="H98">
        <v>0.15</v>
      </c>
      <c r="I98" s="1">
        <v>2</v>
      </c>
      <c r="J98">
        <v>-0.15</v>
      </c>
      <c r="K98">
        <v>0.11</v>
      </c>
      <c r="L98" t="s">
        <v>16</v>
      </c>
      <c r="M98">
        <v>0</v>
      </c>
      <c r="N98" s="5">
        <v>41440</v>
      </c>
      <c r="O98" s="3">
        <v>4</v>
      </c>
    </row>
    <row r="99" spans="1:15" x14ac:dyDescent="0.3">
      <c r="A99" s="1">
        <v>58</v>
      </c>
      <c r="B99" s="1">
        <v>64</v>
      </c>
      <c r="C99" s="1">
        <v>80</v>
      </c>
      <c r="D99" s="1">
        <v>4</v>
      </c>
      <c r="E99" s="1">
        <v>1</v>
      </c>
      <c r="F99" s="2">
        <v>90.62</v>
      </c>
      <c r="G99" s="1">
        <v>3</v>
      </c>
      <c r="H99">
        <v>0.15</v>
      </c>
      <c r="I99" s="1">
        <v>2</v>
      </c>
      <c r="J99">
        <v>-0.14000000000000001</v>
      </c>
      <c r="K99">
        <v>0.3</v>
      </c>
      <c r="L99" t="s">
        <v>15</v>
      </c>
      <c r="M99">
        <v>0</v>
      </c>
      <c r="N99" s="5">
        <v>41445</v>
      </c>
      <c r="O99" s="3">
        <v>5</v>
      </c>
    </row>
    <row r="100" spans="1:15" x14ac:dyDescent="0.3">
      <c r="A100" s="1">
        <v>43</v>
      </c>
      <c r="B100" s="1">
        <v>34</v>
      </c>
      <c r="C100" s="1">
        <v>66</v>
      </c>
      <c r="D100" s="1">
        <v>4</v>
      </c>
      <c r="E100" s="1">
        <v>1</v>
      </c>
      <c r="F100" s="2">
        <v>126.47</v>
      </c>
      <c r="G100" s="1">
        <v>3</v>
      </c>
      <c r="H100">
        <v>0.65</v>
      </c>
      <c r="I100" s="1">
        <v>1</v>
      </c>
      <c r="J100">
        <v>-0.98</v>
      </c>
      <c r="K100">
        <v>0.63</v>
      </c>
      <c r="L100" t="s">
        <v>24</v>
      </c>
      <c r="M100">
        <v>0</v>
      </c>
      <c r="N100" s="5">
        <v>41448</v>
      </c>
      <c r="O100" s="3">
        <v>3</v>
      </c>
    </row>
    <row r="101" spans="1:15" x14ac:dyDescent="0.3">
      <c r="A101" s="1">
        <v>11</v>
      </c>
      <c r="B101" s="1">
        <v>21</v>
      </c>
      <c r="C101" s="1">
        <v>19</v>
      </c>
      <c r="D101" s="1">
        <v>0</v>
      </c>
      <c r="E101" s="1">
        <v>1</v>
      </c>
      <c r="F101" s="2">
        <v>52.38</v>
      </c>
      <c r="G101" s="1">
        <v>3</v>
      </c>
      <c r="H101">
        <v>0.65</v>
      </c>
      <c r="I101" s="1">
        <v>1</v>
      </c>
      <c r="J101">
        <v>-0.06</v>
      </c>
      <c r="K101">
        <v>0.4</v>
      </c>
      <c r="L101" t="s">
        <v>17</v>
      </c>
      <c r="M101">
        <v>0</v>
      </c>
      <c r="N101" s="5">
        <v>41455</v>
      </c>
      <c r="O101" s="3">
        <v>7</v>
      </c>
    </row>
    <row r="102" spans="1:15" x14ac:dyDescent="0.3">
      <c r="A102" s="1">
        <v>2</v>
      </c>
      <c r="B102" s="1">
        <v>5</v>
      </c>
      <c r="C102" s="1">
        <v>6</v>
      </c>
      <c r="D102" s="1">
        <v>0</v>
      </c>
      <c r="E102" s="1">
        <v>0</v>
      </c>
      <c r="F102" s="1">
        <v>40</v>
      </c>
      <c r="G102" s="1">
        <v>4</v>
      </c>
      <c r="H102">
        <v>0.65</v>
      </c>
      <c r="I102" s="1">
        <v>2</v>
      </c>
      <c r="J102">
        <v>-0.14000000000000001</v>
      </c>
      <c r="K102">
        <v>0.3</v>
      </c>
      <c r="L102" t="s">
        <v>15</v>
      </c>
      <c r="M102">
        <v>0</v>
      </c>
      <c r="N102" s="5">
        <v>41457</v>
      </c>
      <c r="O102" s="3">
        <v>2</v>
      </c>
    </row>
    <row r="103" spans="1:15" x14ac:dyDescent="0.3">
      <c r="A103" s="1">
        <v>102</v>
      </c>
      <c r="B103" s="1">
        <v>83</v>
      </c>
      <c r="C103" s="1">
        <v>120</v>
      </c>
      <c r="D103" s="1">
        <v>13</v>
      </c>
      <c r="E103" s="1">
        <v>2</v>
      </c>
      <c r="F103" s="2">
        <v>122.89</v>
      </c>
      <c r="G103" s="1">
        <v>3</v>
      </c>
      <c r="H103">
        <v>0.65</v>
      </c>
      <c r="I103" s="1">
        <v>1</v>
      </c>
      <c r="J103">
        <v>-0.06</v>
      </c>
      <c r="K103">
        <v>0.4</v>
      </c>
      <c r="L103" t="s">
        <v>17</v>
      </c>
      <c r="M103">
        <v>0</v>
      </c>
      <c r="N103" s="5">
        <v>41460</v>
      </c>
      <c r="O103" s="3">
        <v>3</v>
      </c>
    </row>
    <row r="104" spans="1:15" x14ac:dyDescent="0.3">
      <c r="A104" s="1">
        <v>31</v>
      </c>
      <c r="B104" s="1">
        <v>52</v>
      </c>
      <c r="C104" s="1">
        <v>62</v>
      </c>
      <c r="D104" s="1">
        <v>4</v>
      </c>
      <c r="E104" s="1">
        <v>0</v>
      </c>
      <c r="F104" s="2">
        <v>59.61</v>
      </c>
      <c r="G104" s="1">
        <v>3</v>
      </c>
      <c r="H104">
        <v>0.14000000000000001</v>
      </c>
      <c r="I104" s="1">
        <v>1</v>
      </c>
      <c r="J104">
        <v>-0.14000000000000001</v>
      </c>
      <c r="K104">
        <v>0.3</v>
      </c>
      <c r="L104" t="s">
        <v>15</v>
      </c>
      <c r="M104">
        <v>0</v>
      </c>
      <c r="N104" s="5">
        <v>41464</v>
      </c>
      <c r="O104" s="3">
        <v>4</v>
      </c>
    </row>
    <row r="105" spans="1:15" x14ac:dyDescent="0.3">
      <c r="A105" s="1">
        <v>2</v>
      </c>
      <c r="B105" s="1">
        <v>5</v>
      </c>
      <c r="C105" s="1">
        <v>8</v>
      </c>
      <c r="D105" s="1">
        <v>0</v>
      </c>
      <c r="E105" s="1">
        <v>0</v>
      </c>
      <c r="F105" s="1">
        <v>40</v>
      </c>
      <c r="G105" s="1">
        <v>3</v>
      </c>
      <c r="H105">
        <v>0.65</v>
      </c>
      <c r="I105" s="1">
        <v>2</v>
      </c>
      <c r="J105">
        <v>-0.14000000000000001</v>
      </c>
      <c r="K105">
        <v>0.3</v>
      </c>
      <c r="L105" t="s">
        <v>15</v>
      </c>
      <c r="M105">
        <v>0</v>
      </c>
      <c r="N105" s="5">
        <v>41466</v>
      </c>
      <c r="O105" s="3">
        <v>2</v>
      </c>
    </row>
    <row r="106" spans="1:15" x14ac:dyDescent="0.3">
      <c r="A106" s="1">
        <v>115</v>
      </c>
      <c r="B106" s="1">
        <v>108</v>
      </c>
      <c r="C106" s="1">
        <v>133</v>
      </c>
      <c r="D106" s="1">
        <v>13</v>
      </c>
      <c r="E106" s="1">
        <v>1</v>
      </c>
      <c r="F106" s="2">
        <v>106.48</v>
      </c>
      <c r="G106" s="1">
        <v>3</v>
      </c>
      <c r="H106">
        <v>0.65</v>
      </c>
      <c r="I106" s="1">
        <v>2</v>
      </c>
      <c r="J106">
        <v>-0.56000000000000005</v>
      </c>
      <c r="K106">
        <v>0.37</v>
      </c>
      <c r="L106" t="s">
        <v>22</v>
      </c>
      <c r="M106">
        <v>0</v>
      </c>
      <c r="N106" s="5">
        <v>41479</v>
      </c>
      <c r="O106" s="3">
        <v>13</v>
      </c>
    </row>
    <row r="107" spans="1:15" x14ac:dyDescent="0.3">
      <c r="A107" s="1">
        <v>14</v>
      </c>
      <c r="B107" s="1">
        <v>18</v>
      </c>
      <c r="C107" s="1">
        <v>35</v>
      </c>
      <c r="D107" s="1">
        <v>2</v>
      </c>
      <c r="E107" s="1">
        <v>0</v>
      </c>
      <c r="F107" s="2">
        <v>77.77</v>
      </c>
      <c r="G107" s="1">
        <v>3</v>
      </c>
      <c r="H107">
        <v>0.65</v>
      </c>
      <c r="I107" s="1">
        <v>1</v>
      </c>
      <c r="J107">
        <v>-0.56000000000000005</v>
      </c>
      <c r="K107">
        <v>0.37</v>
      </c>
      <c r="L107" t="s">
        <v>22</v>
      </c>
      <c r="M107">
        <v>0</v>
      </c>
      <c r="N107" s="5">
        <v>41481</v>
      </c>
      <c r="O107" s="3">
        <v>2</v>
      </c>
    </row>
    <row r="108" spans="1:15" x14ac:dyDescent="0.3">
      <c r="A108" s="1">
        <v>68</v>
      </c>
      <c r="B108" s="1">
        <v>88</v>
      </c>
      <c r="C108" s="1">
        <v>128</v>
      </c>
      <c r="D108" s="1">
        <v>5</v>
      </c>
      <c r="E108" s="1">
        <v>1</v>
      </c>
      <c r="F108" s="2">
        <v>77.27</v>
      </c>
      <c r="G108" s="1">
        <v>3</v>
      </c>
      <c r="H108">
        <v>0.15</v>
      </c>
      <c r="I108" s="1">
        <v>2</v>
      </c>
      <c r="J108">
        <v>-0.56000000000000005</v>
      </c>
      <c r="K108">
        <v>0.37</v>
      </c>
      <c r="L108" t="s">
        <v>22</v>
      </c>
      <c r="M108">
        <v>0</v>
      </c>
      <c r="N108" s="5">
        <v>41483</v>
      </c>
      <c r="O108" s="3">
        <v>2</v>
      </c>
    </row>
    <row r="109" spans="1:15" x14ac:dyDescent="0.3">
      <c r="A109" s="1">
        <v>61</v>
      </c>
      <c r="B109" s="1">
        <v>85</v>
      </c>
      <c r="C109" s="1">
        <v>121</v>
      </c>
      <c r="D109" s="1">
        <v>6</v>
      </c>
      <c r="E109" s="1">
        <v>0</v>
      </c>
      <c r="F109" s="2">
        <v>71.760000000000005</v>
      </c>
      <c r="G109" s="1">
        <v>3</v>
      </c>
      <c r="H109">
        <v>0.14000000000000001</v>
      </c>
      <c r="I109" s="1">
        <v>2</v>
      </c>
      <c r="J109">
        <v>-0.42</v>
      </c>
      <c r="K109">
        <v>0.72</v>
      </c>
      <c r="L109" t="s">
        <v>18</v>
      </c>
      <c r="M109">
        <v>1</v>
      </c>
      <c r="N109" s="5">
        <v>41560</v>
      </c>
      <c r="O109" s="3">
        <v>71</v>
      </c>
    </row>
    <row r="110" spans="1:15" x14ac:dyDescent="0.3">
      <c r="A110" s="1">
        <v>100</v>
      </c>
      <c r="B110" s="1">
        <v>52</v>
      </c>
      <c r="C110" s="1">
        <v>82</v>
      </c>
      <c r="D110" s="1">
        <v>8</v>
      </c>
      <c r="E110" s="1">
        <v>7</v>
      </c>
      <c r="F110" s="4">
        <v>192.3</v>
      </c>
      <c r="G110" s="1">
        <v>3</v>
      </c>
      <c r="H110">
        <v>0.15</v>
      </c>
      <c r="I110" s="1">
        <v>2</v>
      </c>
      <c r="J110">
        <v>-0.42</v>
      </c>
      <c r="K110">
        <v>0.72</v>
      </c>
      <c r="L110" t="s">
        <v>18</v>
      </c>
      <c r="M110">
        <v>1</v>
      </c>
      <c r="N110" s="5">
        <v>41563</v>
      </c>
      <c r="O110" s="3">
        <v>3</v>
      </c>
    </row>
    <row r="111" spans="1:15" x14ac:dyDescent="0.3">
      <c r="A111" s="1">
        <v>68</v>
      </c>
      <c r="B111" s="1">
        <v>73</v>
      </c>
      <c r="C111" s="1">
        <v>121</v>
      </c>
      <c r="D111" s="1">
        <v>9</v>
      </c>
      <c r="E111" s="1">
        <v>0</v>
      </c>
      <c r="F111" s="2">
        <v>93.15</v>
      </c>
      <c r="G111" s="1">
        <v>3</v>
      </c>
      <c r="H111">
        <v>0.65</v>
      </c>
      <c r="I111" s="1">
        <v>1</v>
      </c>
      <c r="J111">
        <v>-0.42</v>
      </c>
      <c r="K111">
        <v>0.72</v>
      </c>
      <c r="L111" t="s">
        <v>18</v>
      </c>
      <c r="M111">
        <v>1</v>
      </c>
      <c r="N111" s="5">
        <v>41566</v>
      </c>
      <c r="O111" s="3">
        <v>3</v>
      </c>
    </row>
    <row r="112" spans="1:15" x14ac:dyDescent="0.3">
      <c r="A112" s="1">
        <v>115</v>
      </c>
      <c r="B112" s="1">
        <v>66</v>
      </c>
      <c r="C112" s="1">
        <v>104</v>
      </c>
      <c r="D112" s="1">
        <v>18</v>
      </c>
      <c r="E112" s="1">
        <v>1</v>
      </c>
      <c r="F112" s="2">
        <v>174.24</v>
      </c>
      <c r="G112" s="1">
        <v>3</v>
      </c>
      <c r="H112">
        <v>0.15</v>
      </c>
      <c r="I112" s="1">
        <v>2</v>
      </c>
      <c r="J112">
        <v>-0.42</v>
      </c>
      <c r="K112">
        <v>0.72</v>
      </c>
      <c r="L112" t="s">
        <v>18</v>
      </c>
      <c r="M112">
        <v>1</v>
      </c>
      <c r="N112" s="5">
        <v>41577</v>
      </c>
      <c r="O112" s="3">
        <v>11</v>
      </c>
    </row>
    <row r="113" spans="1:15" x14ac:dyDescent="0.3">
      <c r="A113" s="1">
        <v>0</v>
      </c>
      <c r="B113" s="1">
        <v>3</v>
      </c>
      <c r="C113" s="1">
        <v>4</v>
      </c>
      <c r="D113" s="1">
        <v>0</v>
      </c>
      <c r="E113" s="1">
        <v>0</v>
      </c>
      <c r="F113" s="1">
        <v>0</v>
      </c>
      <c r="G113" s="1">
        <v>3</v>
      </c>
      <c r="H113">
        <v>0.04</v>
      </c>
      <c r="I113" s="1">
        <v>1</v>
      </c>
      <c r="J113">
        <v>-0.42</v>
      </c>
      <c r="K113">
        <v>0.72</v>
      </c>
      <c r="L113" t="s">
        <v>18</v>
      </c>
      <c r="M113">
        <v>1</v>
      </c>
      <c r="N113" s="5">
        <v>41580</v>
      </c>
      <c r="O113" s="3">
        <v>3</v>
      </c>
    </row>
    <row r="114" spans="1:15" x14ac:dyDescent="0.3">
      <c r="A114" s="1">
        <v>86</v>
      </c>
      <c r="B114" s="1">
        <v>84</v>
      </c>
      <c r="C114" s="1">
        <v>120</v>
      </c>
      <c r="D114" s="1">
        <v>9</v>
      </c>
      <c r="E114" s="1">
        <v>2</v>
      </c>
      <c r="F114" s="2">
        <v>102.38</v>
      </c>
      <c r="G114" s="1">
        <v>3</v>
      </c>
      <c r="H114">
        <v>0.65</v>
      </c>
      <c r="I114" s="1">
        <v>2</v>
      </c>
      <c r="J114">
        <v>-0.06</v>
      </c>
      <c r="K114">
        <v>0.4</v>
      </c>
      <c r="L114" t="s">
        <v>17</v>
      </c>
      <c r="M114">
        <v>1</v>
      </c>
      <c r="N114" s="5">
        <v>41599</v>
      </c>
      <c r="O114" s="3">
        <v>19</v>
      </c>
    </row>
    <row r="115" spans="1:15" x14ac:dyDescent="0.3">
      <c r="A115" s="1">
        <v>99</v>
      </c>
      <c r="B115" s="1">
        <v>100</v>
      </c>
      <c r="C115" s="1">
        <v>159</v>
      </c>
      <c r="D115" s="1">
        <v>9</v>
      </c>
      <c r="E115" s="1">
        <v>0</v>
      </c>
      <c r="F115" s="1">
        <v>99</v>
      </c>
      <c r="G115" s="1">
        <v>3</v>
      </c>
      <c r="H115">
        <v>0.65</v>
      </c>
      <c r="I115" s="1">
        <v>1</v>
      </c>
      <c r="J115">
        <v>-0.06</v>
      </c>
      <c r="K115">
        <v>0.4</v>
      </c>
      <c r="L115" t="s">
        <v>17</v>
      </c>
      <c r="M115">
        <v>1</v>
      </c>
      <c r="N115" s="5">
        <v>41602</v>
      </c>
      <c r="O115" s="3">
        <v>3</v>
      </c>
    </row>
    <row r="116" spans="1:15" x14ac:dyDescent="0.3">
      <c r="A116" s="1">
        <v>19</v>
      </c>
      <c r="B116" s="1">
        <v>18</v>
      </c>
      <c r="C116" s="1">
        <v>19</v>
      </c>
      <c r="D116" s="1">
        <v>3</v>
      </c>
      <c r="E116" s="1">
        <v>0</v>
      </c>
      <c r="F116" s="2">
        <v>105.55</v>
      </c>
      <c r="G116" s="1">
        <v>3</v>
      </c>
      <c r="H116">
        <v>0.65</v>
      </c>
      <c r="I116" s="1">
        <v>2</v>
      </c>
      <c r="J116">
        <v>-0.06</v>
      </c>
      <c r="K116">
        <v>0.4</v>
      </c>
      <c r="L116" t="s">
        <v>17</v>
      </c>
      <c r="M116">
        <v>1</v>
      </c>
      <c r="N116" s="5">
        <v>41605</v>
      </c>
      <c r="O116" s="3">
        <v>3</v>
      </c>
    </row>
    <row r="117" spans="1:15" x14ac:dyDescent="0.3">
      <c r="A117" s="1">
        <v>31</v>
      </c>
      <c r="B117" s="1">
        <v>35</v>
      </c>
      <c r="C117" s="1">
        <v>41</v>
      </c>
      <c r="D117" s="1">
        <v>5</v>
      </c>
      <c r="E117" s="1">
        <v>0</v>
      </c>
      <c r="F117" s="2">
        <v>88.57</v>
      </c>
      <c r="G117" s="1">
        <v>3</v>
      </c>
      <c r="H117">
        <v>0.65</v>
      </c>
      <c r="I117" s="1">
        <v>2</v>
      </c>
      <c r="J117">
        <v>0.39</v>
      </c>
      <c r="K117">
        <v>0.18</v>
      </c>
      <c r="L117" t="s">
        <v>20</v>
      </c>
      <c r="M117">
        <v>0</v>
      </c>
      <c r="N117" s="5">
        <v>41613</v>
      </c>
      <c r="O117" s="3">
        <v>8</v>
      </c>
    </row>
    <row r="118" spans="1:15" x14ac:dyDescent="0.3">
      <c r="A118" s="1">
        <v>0</v>
      </c>
      <c r="B118" s="1">
        <v>5</v>
      </c>
      <c r="C118" s="1">
        <v>7</v>
      </c>
      <c r="D118" s="1">
        <v>0</v>
      </c>
      <c r="E118" s="1">
        <v>0</v>
      </c>
      <c r="F118" s="1">
        <v>0</v>
      </c>
      <c r="G118" s="1">
        <v>3</v>
      </c>
      <c r="H118">
        <v>0.65</v>
      </c>
      <c r="I118" s="1">
        <v>2</v>
      </c>
      <c r="J118">
        <v>0.39</v>
      </c>
      <c r="K118">
        <v>0.18</v>
      </c>
      <c r="L118" t="s">
        <v>20</v>
      </c>
      <c r="M118">
        <v>0</v>
      </c>
      <c r="N118" s="5">
        <v>41616</v>
      </c>
      <c r="O118" s="3">
        <v>3</v>
      </c>
    </row>
    <row r="119" spans="1:15" x14ac:dyDescent="0.3">
      <c r="A119" s="1">
        <v>123</v>
      </c>
      <c r="B119" s="1">
        <v>111</v>
      </c>
      <c r="C119" s="1">
        <v>179</v>
      </c>
      <c r="D119" s="1">
        <v>11</v>
      </c>
      <c r="E119" s="1">
        <v>2</v>
      </c>
      <c r="F119" s="2">
        <v>110.81</v>
      </c>
      <c r="G119" s="1">
        <v>3</v>
      </c>
      <c r="H119">
        <v>0.65</v>
      </c>
      <c r="I119" s="1">
        <v>2</v>
      </c>
      <c r="J119">
        <v>-0.26</v>
      </c>
      <c r="K119">
        <v>0.69</v>
      </c>
      <c r="L119" t="s">
        <v>23</v>
      </c>
      <c r="M119">
        <v>0</v>
      </c>
      <c r="N119" s="5">
        <v>41658</v>
      </c>
      <c r="O119" s="3">
        <v>42</v>
      </c>
    </row>
    <row r="120" spans="1:15" x14ac:dyDescent="0.3">
      <c r="A120" s="1">
        <v>78</v>
      </c>
      <c r="B120" s="1">
        <v>65</v>
      </c>
      <c r="C120" s="1">
        <v>88</v>
      </c>
      <c r="D120" s="1">
        <v>7</v>
      </c>
      <c r="E120" s="1">
        <v>2</v>
      </c>
      <c r="F120" s="1">
        <v>120</v>
      </c>
      <c r="G120" s="1">
        <v>3</v>
      </c>
      <c r="H120">
        <v>0.65</v>
      </c>
      <c r="I120" s="1">
        <v>2</v>
      </c>
      <c r="J120">
        <v>-0.26</v>
      </c>
      <c r="K120">
        <v>0.69</v>
      </c>
      <c r="L120" t="s">
        <v>23</v>
      </c>
      <c r="M120">
        <v>0</v>
      </c>
      <c r="N120" s="5">
        <v>41661</v>
      </c>
      <c r="O120" s="3">
        <v>3</v>
      </c>
    </row>
    <row r="121" spans="1:15" x14ac:dyDescent="0.3">
      <c r="A121" s="1">
        <v>6</v>
      </c>
      <c r="B121" s="1">
        <v>20</v>
      </c>
      <c r="C121" s="1">
        <v>27</v>
      </c>
      <c r="D121" s="1">
        <v>1</v>
      </c>
      <c r="E121" s="1">
        <v>0</v>
      </c>
      <c r="F121" s="1">
        <v>30</v>
      </c>
      <c r="G121" s="1">
        <v>3</v>
      </c>
      <c r="H121">
        <v>0.65</v>
      </c>
      <c r="I121" s="1">
        <v>2</v>
      </c>
      <c r="J121">
        <v>-0.26</v>
      </c>
      <c r="K121">
        <v>0.69</v>
      </c>
      <c r="L121" t="s">
        <v>23</v>
      </c>
      <c r="M121">
        <v>0</v>
      </c>
      <c r="N121" s="5">
        <v>41664</v>
      </c>
      <c r="O121" s="3">
        <v>3</v>
      </c>
    </row>
    <row r="122" spans="1:15" x14ac:dyDescent="0.3">
      <c r="A122" s="1">
        <v>2</v>
      </c>
      <c r="B122" s="1">
        <v>10</v>
      </c>
      <c r="C122" s="1">
        <v>14</v>
      </c>
      <c r="D122" s="1">
        <v>0</v>
      </c>
      <c r="E122" s="1">
        <v>0</v>
      </c>
      <c r="F122" s="1">
        <v>20</v>
      </c>
      <c r="G122" s="1">
        <v>2</v>
      </c>
      <c r="H122">
        <v>0.65</v>
      </c>
      <c r="I122" s="1">
        <v>1</v>
      </c>
      <c r="J122">
        <v>-0.26</v>
      </c>
      <c r="K122">
        <v>0.69</v>
      </c>
      <c r="L122" t="s">
        <v>23</v>
      </c>
      <c r="M122">
        <v>0</v>
      </c>
      <c r="N122" s="5">
        <v>41667</v>
      </c>
      <c r="O122" s="3">
        <v>3</v>
      </c>
    </row>
    <row r="123" spans="1:15" x14ac:dyDescent="0.3">
      <c r="A123" s="1">
        <v>82</v>
      </c>
      <c r="B123" s="1">
        <v>78</v>
      </c>
      <c r="C123" s="1">
        <v>129</v>
      </c>
      <c r="D123" s="1">
        <v>7</v>
      </c>
      <c r="E123" s="1">
        <v>3</v>
      </c>
      <c r="F123" s="2">
        <v>105.12</v>
      </c>
      <c r="G123" s="1">
        <v>3</v>
      </c>
      <c r="H123">
        <v>0.65</v>
      </c>
      <c r="I123" s="1">
        <v>2</v>
      </c>
      <c r="J123">
        <v>-0.26</v>
      </c>
      <c r="K123">
        <v>0.69</v>
      </c>
      <c r="L123" t="s">
        <v>23</v>
      </c>
      <c r="M123">
        <v>0</v>
      </c>
      <c r="N123" s="5">
        <v>41670</v>
      </c>
      <c r="O123" s="3">
        <v>3</v>
      </c>
    </row>
    <row r="124" spans="1:15" x14ac:dyDescent="0.3">
      <c r="A124" s="1">
        <v>136</v>
      </c>
      <c r="B124" s="1">
        <v>122</v>
      </c>
      <c r="C124" s="1">
        <v>157</v>
      </c>
      <c r="D124" s="1">
        <v>16</v>
      </c>
      <c r="E124" s="1">
        <v>2</v>
      </c>
      <c r="F124" s="2">
        <v>111.47</v>
      </c>
      <c r="G124" s="1">
        <v>3</v>
      </c>
      <c r="H124">
        <v>0.15</v>
      </c>
      <c r="I124" s="1">
        <v>2</v>
      </c>
      <c r="J124">
        <v>0.37</v>
      </c>
      <c r="K124">
        <v>0.11</v>
      </c>
      <c r="L124" t="s">
        <v>19</v>
      </c>
      <c r="M124">
        <v>0</v>
      </c>
      <c r="N124" s="5">
        <v>41696</v>
      </c>
      <c r="O124" s="3">
        <v>26</v>
      </c>
    </row>
    <row r="125" spans="1:15" x14ac:dyDescent="0.3">
      <c r="A125" s="1">
        <v>48</v>
      </c>
      <c r="B125" s="1">
        <v>51</v>
      </c>
      <c r="C125" s="1">
        <v>66</v>
      </c>
      <c r="D125" s="1">
        <v>4</v>
      </c>
      <c r="E125" s="1">
        <v>1</v>
      </c>
      <c r="F125" s="2">
        <v>94.11</v>
      </c>
      <c r="G125" s="1">
        <v>3</v>
      </c>
      <c r="H125">
        <v>0.15</v>
      </c>
      <c r="I125" s="1">
        <v>1</v>
      </c>
      <c r="J125">
        <v>-0.14000000000000001</v>
      </c>
      <c r="K125">
        <v>0.3</v>
      </c>
      <c r="L125" t="s">
        <v>15</v>
      </c>
      <c r="M125">
        <v>0</v>
      </c>
      <c r="N125" s="5">
        <v>41698</v>
      </c>
      <c r="O125" s="3">
        <v>2</v>
      </c>
    </row>
    <row r="126" spans="1:15" x14ac:dyDescent="0.3">
      <c r="A126" s="1">
        <v>5</v>
      </c>
      <c r="B126" s="1">
        <v>11</v>
      </c>
      <c r="C126" s="1">
        <v>29</v>
      </c>
      <c r="D126" s="1">
        <v>0</v>
      </c>
      <c r="E126" s="1">
        <v>0</v>
      </c>
      <c r="F126" s="2">
        <v>45.45</v>
      </c>
      <c r="G126" s="1">
        <v>3</v>
      </c>
      <c r="H126">
        <v>0.65</v>
      </c>
      <c r="I126" s="1">
        <v>1</v>
      </c>
      <c r="J126">
        <v>-0.15</v>
      </c>
      <c r="K126">
        <v>0.11</v>
      </c>
      <c r="L126" t="s">
        <v>16</v>
      </c>
      <c r="M126">
        <v>1</v>
      </c>
      <c r="N126" s="5">
        <v>41700</v>
      </c>
      <c r="O126" s="3">
        <v>2</v>
      </c>
    </row>
    <row r="127" spans="1:15" x14ac:dyDescent="0.3">
      <c r="A127" s="1">
        <v>0</v>
      </c>
      <c r="B127" s="1">
        <v>3</v>
      </c>
      <c r="C127" s="1">
        <v>1</v>
      </c>
      <c r="D127" s="1">
        <v>0</v>
      </c>
      <c r="E127" s="1">
        <v>0</v>
      </c>
      <c r="F127" s="1">
        <v>0</v>
      </c>
      <c r="G127" s="1">
        <v>3</v>
      </c>
      <c r="H127">
        <v>0.65</v>
      </c>
      <c r="I127" s="1">
        <v>1</v>
      </c>
      <c r="J127">
        <v>-0.98</v>
      </c>
      <c r="K127">
        <v>0.63</v>
      </c>
      <c r="L127" t="s">
        <v>24</v>
      </c>
      <c r="M127">
        <v>0</v>
      </c>
      <c r="N127" s="5">
        <v>41878</v>
      </c>
      <c r="O127" s="3">
        <v>175</v>
      </c>
    </row>
    <row r="128" spans="1:15" x14ac:dyDescent="0.3">
      <c r="A128" s="1">
        <v>40</v>
      </c>
      <c r="B128" s="1">
        <v>50</v>
      </c>
      <c r="C128" s="1">
        <v>67</v>
      </c>
      <c r="D128" s="1">
        <v>2</v>
      </c>
      <c r="E128" s="1">
        <v>1</v>
      </c>
      <c r="F128" s="1">
        <v>80</v>
      </c>
      <c r="G128" s="1">
        <v>3</v>
      </c>
      <c r="H128">
        <v>0.65</v>
      </c>
      <c r="I128" s="1">
        <v>2</v>
      </c>
      <c r="J128">
        <v>-0.98</v>
      </c>
      <c r="K128">
        <v>0.63</v>
      </c>
      <c r="L128" t="s">
        <v>24</v>
      </c>
      <c r="M128">
        <v>0</v>
      </c>
      <c r="N128" s="5">
        <v>41881</v>
      </c>
      <c r="O128" s="3">
        <v>3</v>
      </c>
    </row>
    <row r="129" spans="1:15" x14ac:dyDescent="0.3">
      <c r="A129" s="1">
        <v>1</v>
      </c>
      <c r="B129" s="1">
        <v>3</v>
      </c>
      <c r="C129" s="1">
        <v>9</v>
      </c>
      <c r="D129" s="1">
        <v>0</v>
      </c>
      <c r="E129" s="1">
        <v>0</v>
      </c>
      <c r="F129" s="2">
        <v>33.33</v>
      </c>
      <c r="G129" s="1">
        <v>3</v>
      </c>
      <c r="H129">
        <v>0.15</v>
      </c>
      <c r="I129" s="1">
        <v>2</v>
      </c>
      <c r="J129">
        <v>-0.98</v>
      </c>
      <c r="K129">
        <v>0.63</v>
      </c>
      <c r="L129" t="s">
        <v>24</v>
      </c>
      <c r="M129">
        <v>0</v>
      </c>
      <c r="N129" s="5">
        <v>41884</v>
      </c>
      <c r="O129" s="3">
        <v>3</v>
      </c>
    </row>
    <row r="130" spans="1:15" x14ac:dyDescent="0.3">
      <c r="A130" s="1">
        <v>13</v>
      </c>
      <c r="B130" s="1">
        <v>21</v>
      </c>
      <c r="C130" s="1">
        <v>25</v>
      </c>
      <c r="D130" s="1">
        <v>2</v>
      </c>
      <c r="E130" s="1">
        <v>0</v>
      </c>
      <c r="F130" s="4">
        <v>61.9</v>
      </c>
      <c r="G130" s="1">
        <v>3</v>
      </c>
      <c r="H130">
        <v>0.65</v>
      </c>
      <c r="I130" s="1">
        <v>2</v>
      </c>
      <c r="J130">
        <v>-0.98</v>
      </c>
      <c r="K130">
        <v>0.63</v>
      </c>
      <c r="L130" t="s">
        <v>24</v>
      </c>
      <c r="M130">
        <v>0</v>
      </c>
      <c r="N130" s="5">
        <v>41887</v>
      </c>
      <c r="O130" s="3">
        <v>3</v>
      </c>
    </row>
    <row r="131" spans="1:15" x14ac:dyDescent="0.3">
      <c r="A131" s="1">
        <v>2</v>
      </c>
      <c r="B131" s="1">
        <v>5</v>
      </c>
      <c r="C131" s="1">
        <v>7</v>
      </c>
      <c r="D131" s="1">
        <v>0</v>
      </c>
      <c r="E131" s="1">
        <v>0</v>
      </c>
      <c r="F131" s="1">
        <v>40</v>
      </c>
      <c r="G131" s="1">
        <v>3</v>
      </c>
      <c r="H131">
        <v>0.65</v>
      </c>
      <c r="I131" s="1">
        <v>2</v>
      </c>
      <c r="J131">
        <v>-0.06</v>
      </c>
      <c r="K131">
        <v>0.4</v>
      </c>
      <c r="L131" t="s">
        <v>17</v>
      </c>
      <c r="M131">
        <v>1</v>
      </c>
      <c r="N131" s="5">
        <v>41920</v>
      </c>
      <c r="O131" s="3">
        <v>33</v>
      </c>
    </row>
    <row r="132" spans="1:15" x14ac:dyDescent="0.3">
      <c r="A132" s="1">
        <v>62</v>
      </c>
      <c r="B132" s="1">
        <v>78</v>
      </c>
      <c r="C132" s="1">
        <v>124</v>
      </c>
      <c r="D132" s="1">
        <v>5</v>
      </c>
      <c r="E132" s="1">
        <v>0</v>
      </c>
      <c r="F132" s="2">
        <v>79.48</v>
      </c>
      <c r="G132" s="1">
        <v>4</v>
      </c>
      <c r="H132">
        <v>0.65</v>
      </c>
      <c r="I132" s="1">
        <v>1</v>
      </c>
      <c r="J132">
        <v>-0.06</v>
      </c>
      <c r="K132">
        <v>0.4</v>
      </c>
      <c r="L132" t="s">
        <v>17</v>
      </c>
      <c r="M132">
        <v>1</v>
      </c>
      <c r="N132" s="5">
        <v>41923</v>
      </c>
      <c r="O132" s="3">
        <v>3</v>
      </c>
    </row>
    <row r="133" spans="1:15" x14ac:dyDescent="0.3">
      <c r="A133" s="1">
        <v>127</v>
      </c>
      <c r="B133" s="1">
        <v>114</v>
      </c>
      <c r="C133" s="1">
        <v>164</v>
      </c>
      <c r="D133" s="1">
        <v>13</v>
      </c>
      <c r="E133" s="1">
        <v>3</v>
      </c>
      <c r="F133" s="4">
        <v>111.4</v>
      </c>
      <c r="G133" s="1">
        <v>3</v>
      </c>
      <c r="H133">
        <v>0.04</v>
      </c>
      <c r="I133" s="1">
        <v>1</v>
      </c>
      <c r="J133">
        <v>-0.06</v>
      </c>
      <c r="K133">
        <v>0.4</v>
      </c>
      <c r="L133" t="s">
        <v>17</v>
      </c>
      <c r="M133">
        <v>1</v>
      </c>
      <c r="N133" s="5">
        <v>41929</v>
      </c>
      <c r="O133" s="3">
        <v>6</v>
      </c>
    </row>
    <row r="134" spans="1:15" x14ac:dyDescent="0.3">
      <c r="A134" s="1">
        <v>22</v>
      </c>
      <c r="B134" s="1">
        <v>21</v>
      </c>
      <c r="C134" s="1">
        <v>34</v>
      </c>
      <c r="D134" s="1">
        <v>2</v>
      </c>
      <c r="E134" s="1">
        <v>0</v>
      </c>
      <c r="F134" s="2">
        <v>104.76</v>
      </c>
      <c r="G134" s="1">
        <v>4</v>
      </c>
      <c r="H134">
        <v>0.65</v>
      </c>
      <c r="I134" s="1">
        <v>1</v>
      </c>
      <c r="J134">
        <v>-0.14000000000000001</v>
      </c>
      <c r="K134">
        <v>0.3</v>
      </c>
      <c r="L134" t="s">
        <v>15</v>
      </c>
      <c r="M134">
        <v>1</v>
      </c>
      <c r="N134" s="5">
        <v>41945</v>
      </c>
      <c r="O134" s="3">
        <v>16</v>
      </c>
    </row>
    <row r="135" spans="1:15" x14ac:dyDescent="0.3">
      <c r="A135" s="1">
        <v>49</v>
      </c>
      <c r="B135" s="1">
        <v>44</v>
      </c>
      <c r="C135" s="1" cm="1">
        <f t="array" ref="C135">TREND(C2:C134,A2:B134,A135:B135)</f>
        <v>62.418206233736178</v>
      </c>
      <c r="D135" s="1">
        <v>2</v>
      </c>
      <c r="E135" s="1">
        <v>2</v>
      </c>
      <c r="F135" s="2">
        <v>111.36</v>
      </c>
      <c r="G135" s="1">
        <v>4</v>
      </c>
      <c r="H135">
        <v>0.65</v>
      </c>
      <c r="I135" s="1">
        <v>2</v>
      </c>
      <c r="J135">
        <v>-0.14000000000000001</v>
      </c>
      <c r="K135">
        <v>0.3</v>
      </c>
      <c r="L135" t="s">
        <v>15</v>
      </c>
      <c r="M135">
        <v>1</v>
      </c>
      <c r="N135" s="5">
        <v>41949</v>
      </c>
      <c r="O135" s="3">
        <v>4</v>
      </c>
    </row>
    <row r="136" spans="1:15" x14ac:dyDescent="0.3">
      <c r="A136" s="1">
        <v>53</v>
      </c>
      <c r="B136" s="1">
        <v>61</v>
      </c>
      <c r="C136" s="1" cm="1">
        <f t="array" ref="C136">TREND(C3:C135,A3:B135,A136:B136)</f>
        <v>83.39796281366894</v>
      </c>
      <c r="D136" s="1">
        <v>4</v>
      </c>
      <c r="E136" s="1">
        <v>1</v>
      </c>
      <c r="F136" s="2">
        <v>86.88</v>
      </c>
      <c r="G136" s="1">
        <v>4</v>
      </c>
      <c r="H136">
        <v>0.65</v>
      </c>
      <c r="I136" s="1">
        <v>2</v>
      </c>
      <c r="J136">
        <v>-0.14000000000000001</v>
      </c>
      <c r="K136">
        <v>0.3</v>
      </c>
      <c r="L136" t="s">
        <v>15</v>
      </c>
      <c r="M136">
        <v>1</v>
      </c>
      <c r="N136" s="5">
        <v>41952</v>
      </c>
      <c r="O136" s="3">
        <v>3</v>
      </c>
    </row>
    <row r="137" spans="1:15" x14ac:dyDescent="0.3">
      <c r="A137" s="1">
        <v>66</v>
      </c>
      <c r="B137" s="1">
        <v>64</v>
      </c>
      <c r="C137" s="1">
        <v>109</v>
      </c>
      <c r="D137" s="1">
        <v>6</v>
      </c>
      <c r="E137" s="1">
        <v>0</v>
      </c>
      <c r="F137" s="2">
        <v>103.12</v>
      </c>
      <c r="G137" s="1">
        <v>4</v>
      </c>
      <c r="H137">
        <v>0.04</v>
      </c>
      <c r="I137" s="1">
        <v>1</v>
      </c>
      <c r="J137">
        <v>-0.14000000000000001</v>
      </c>
      <c r="K137">
        <v>0.3</v>
      </c>
      <c r="L137" t="s">
        <v>15</v>
      </c>
      <c r="M137">
        <v>1</v>
      </c>
      <c r="N137" s="5">
        <v>41956</v>
      </c>
      <c r="O137" s="3">
        <v>4</v>
      </c>
    </row>
    <row r="138" spans="1:15" x14ac:dyDescent="0.3">
      <c r="A138" s="1">
        <v>139</v>
      </c>
      <c r="B138" s="1">
        <v>126</v>
      </c>
      <c r="C138" s="1">
        <v>192</v>
      </c>
      <c r="D138" s="1">
        <v>12</v>
      </c>
      <c r="E138" s="1">
        <v>3</v>
      </c>
      <c r="F138" s="2">
        <v>110.31</v>
      </c>
      <c r="G138" s="1">
        <v>4</v>
      </c>
      <c r="H138">
        <v>0.15</v>
      </c>
      <c r="I138" s="1">
        <v>2</v>
      </c>
      <c r="J138">
        <v>-0.14000000000000001</v>
      </c>
      <c r="K138">
        <v>0.3</v>
      </c>
      <c r="L138" t="s">
        <v>15</v>
      </c>
      <c r="M138">
        <v>1</v>
      </c>
      <c r="N138" s="5">
        <v>41959</v>
      </c>
      <c r="O138" s="3">
        <v>3</v>
      </c>
    </row>
    <row r="139" spans="1:15" x14ac:dyDescent="0.3">
      <c r="A139" s="1">
        <v>9</v>
      </c>
      <c r="B139" s="1">
        <v>16</v>
      </c>
      <c r="C139" s="1">
        <v>24</v>
      </c>
      <c r="D139" s="1">
        <v>0</v>
      </c>
      <c r="E139" s="1">
        <v>0</v>
      </c>
      <c r="F139" s="2">
        <v>56.25</v>
      </c>
      <c r="G139" s="1">
        <v>4</v>
      </c>
      <c r="H139">
        <v>0.65</v>
      </c>
      <c r="I139" s="1">
        <v>1</v>
      </c>
      <c r="J139">
        <v>-0.42</v>
      </c>
      <c r="K139">
        <v>0.72</v>
      </c>
      <c r="L139" t="s">
        <v>18</v>
      </c>
      <c r="M139">
        <v>0</v>
      </c>
      <c r="N139" s="5">
        <v>42022</v>
      </c>
      <c r="O139" s="3">
        <v>63</v>
      </c>
    </row>
    <row r="140" spans="1:15" x14ac:dyDescent="0.3">
      <c r="A140" s="1">
        <v>4</v>
      </c>
      <c r="B140" s="1">
        <v>8</v>
      </c>
      <c r="C140" s="1">
        <v>13</v>
      </c>
      <c r="D140" s="1">
        <v>0</v>
      </c>
      <c r="E140" s="1">
        <v>0</v>
      </c>
      <c r="F140" s="1">
        <v>50</v>
      </c>
      <c r="G140" s="1">
        <v>4</v>
      </c>
      <c r="H140">
        <v>0.65</v>
      </c>
      <c r="I140" s="1">
        <v>1</v>
      </c>
      <c r="J140">
        <v>-0.98</v>
      </c>
      <c r="K140">
        <v>0.63</v>
      </c>
      <c r="L140" t="s">
        <v>24</v>
      </c>
      <c r="M140">
        <v>0</v>
      </c>
      <c r="N140" s="5">
        <v>42024</v>
      </c>
      <c r="O140" s="3">
        <v>2</v>
      </c>
    </row>
    <row r="141" spans="1:15" x14ac:dyDescent="0.3">
      <c r="A141" s="1">
        <v>8</v>
      </c>
      <c r="B141" s="1">
        <v>19</v>
      </c>
      <c r="C141" s="1">
        <v>26</v>
      </c>
      <c r="D141" s="1">
        <v>0</v>
      </c>
      <c r="E141" s="1">
        <v>0</v>
      </c>
      <c r="F141" s="4">
        <v>42.1</v>
      </c>
      <c r="G141" s="1">
        <v>3</v>
      </c>
      <c r="H141">
        <v>0.65</v>
      </c>
      <c r="I141" s="1">
        <v>1</v>
      </c>
      <c r="J141">
        <v>-0.98</v>
      </c>
      <c r="K141">
        <v>0.63</v>
      </c>
      <c r="L141" t="s">
        <v>24</v>
      </c>
      <c r="M141">
        <v>0</v>
      </c>
      <c r="N141" s="5">
        <v>42034</v>
      </c>
      <c r="O141" s="3">
        <v>10</v>
      </c>
    </row>
    <row r="142" spans="1:15" x14ac:dyDescent="0.3">
      <c r="A142" s="1">
        <v>107</v>
      </c>
      <c r="B142" s="1">
        <v>126</v>
      </c>
      <c r="C142" s="1">
        <v>168</v>
      </c>
      <c r="D142" s="1">
        <v>8</v>
      </c>
      <c r="E142" s="1">
        <v>0</v>
      </c>
      <c r="F142" s="2">
        <v>84.92</v>
      </c>
      <c r="G142" s="1">
        <v>3</v>
      </c>
      <c r="H142">
        <v>0.65</v>
      </c>
      <c r="I142" s="1">
        <v>1</v>
      </c>
      <c r="J142">
        <v>-0.15</v>
      </c>
      <c r="K142">
        <v>0.11</v>
      </c>
      <c r="L142" t="s">
        <v>16</v>
      </c>
      <c r="M142">
        <v>0</v>
      </c>
      <c r="N142" s="5">
        <v>42050</v>
      </c>
      <c r="O142" s="3">
        <v>16</v>
      </c>
    </row>
    <row r="143" spans="1:15" x14ac:dyDescent="0.3">
      <c r="A143" s="1">
        <v>46</v>
      </c>
      <c r="B143" s="1">
        <v>60</v>
      </c>
      <c r="C143" s="1">
        <v>106</v>
      </c>
      <c r="D143" s="1">
        <v>3</v>
      </c>
      <c r="E143" s="1">
        <v>0</v>
      </c>
      <c r="F143" s="2">
        <v>76.66</v>
      </c>
      <c r="G143" s="1">
        <v>3</v>
      </c>
      <c r="H143">
        <v>0.65</v>
      </c>
      <c r="I143" s="1">
        <v>1</v>
      </c>
      <c r="J143">
        <v>0.39</v>
      </c>
      <c r="K143">
        <v>0.18</v>
      </c>
      <c r="L143" t="s">
        <v>20</v>
      </c>
      <c r="M143">
        <v>0</v>
      </c>
      <c r="N143" s="5">
        <v>42057</v>
      </c>
      <c r="O143" s="3">
        <v>7</v>
      </c>
    </row>
    <row r="144" spans="1:15" x14ac:dyDescent="0.3">
      <c r="A144" s="1">
        <v>33</v>
      </c>
      <c r="B144" s="1">
        <v>41</v>
      </c>
      <c r="C144" s="1">
        <v>49</v>
      </c>
      <c r="D144" s="1">
        <v>5</v>
      </c>
      <c r="E144" s="1">
        <v>0</v>
      </c>
      <c r="F144" s="2">
        <v>80.48</v>
      </c>
      <c r="G144" s="1">
        <v>3</v>
      </c>
      <c r="H144">
        <v>0.15</v>
      </c>
      <c r="I144" s="1">
        <v>2</v>
      </c>
      <c r="J144">
        <v>-2.8</v>
      </c>
      <c r="K144">
        <v>-2.76</v>
      </c>
      <c r="L144" t="s">
        <v>28</v>
      </c>
      <c r="M144">
        <v>0</v>
      </c>
      <c r="N144" s="5">
        <v>42063</v>
      </c>
      <c r="O144" s="3">
        <v>6</v>
      </c>
    </row>
    <row r="145" spans="1:15" x14ac:dyDescent="0.3">
      <c r="A145" s="1">
        <v>33</v>
      </c>
      <c r="B145" s="1">
        <v>36</v>
      </c>
      <c r="C145" s="1">
        <v>51</v>
      </c>
      <c r="D145" s="1">
        <v>5</v>
      </c>
      <c r="E145" s="1">
        <v>0</v>
      </c>
      <c r="F145" s="2">
        <v>91.66</v>
      </c>
      <c r="G145" s="1">
        <v>3</v>
      </c>
      <c r="H145">
        <v>0.65</v>
      </c>
      <c r="I145" s="1">
        <v>2</v>
      </c>
      <c r="J145">
        <v>-0.06</v>
      </c>
      <c r="K145">
        <v>0.4</v>
      </c>
      <c r="L145" t="s">
        <v>17</v>
      </c>
      <c r="M145">
        <v>0</v>
      </c>
      <c r="N145" s="5">
        <v>42069</v>
      </c>
      <c r="O145" s="3">
        <v>6</v>
      </c>
    </row>
    <row r="146" spans="1:15" x14ac:dyDescent="0.3">
      <c r="A146" s="1">
        <v>44</v>
      </c>
      <c r="B146" s="1">
        <v>42</v>
      </c>
      <c r="C146" s="1">
        <v>64</v>
      </c>
      <c r="D146" s="1">
        <v>4</v>
      </c>
      <c r="E146" s="1">
        <v>1</v>
      </c>
      <c r="F146" s="2">
        <v>104.76</v>
      </c>
      <c r="G146" s="1">
        <v>3</v>
      </c>
      <c r="H146">
        <v>0.15</v>
      </c>
      <c r="I146" s="1">
        <v>2</v>
      </c>
      <c r="J146">
        <v>0.65</v>
      </c>
      <c r="K146">
        <v>-0.88</v>
      </c>
      <c r="L146" t="s">
        <v>25</v>
      </c>
      <c r="M146">
        <v>0</v>
      </c>
      <c r="N146" s="5">
        <v>42073</v>
      </c>
      <c r="O146" s="3">
        <v>4</v>
      </c>
    </row>
    <row r="147" spans="1:15" x14ac:dyDescent="0.3">
      <c r="A147" s="1">
        <v>38</v>
      </c>
      <c r="B147" s="1">
        <v>48</v>
      </c>
      <c r="C147" s="1">
        <v>71</v>
      </c>
      <c r="D147" s="1">
        <v>4</v>
      </c>
      <c r="E147" s="1">
        <v>0</v>
      </c>
      <c r="F147" s="2">
        <v>79.16</v>
      </c>
      <c r="G147" s="1">
        <v>3</v>
      </c>
      <c r="H147">
        <v>0.15</v>
      </c>
      <c r="I147" s="1">
        <v>2</v>
      </c>
      <c r="J147">
        <v>-0.56000000000000005</v>
      </c>
      <c r="K147">
        <v>0.37</v>
      </c>
      <c r="L147" t="s">
        <v>22</v>
      </c>
      <c r="M147">
        <v>0</v>
      </c>
      <c r="N147" s="5">
        <v>42077</v>
      </c>
      <c r="O147" s="3">
        <v>4</v>
      </c>
    </row>
    <row r="148" spans="1:15" x14ac:dyDescent="0.3">
      <c r="A148" s="1">
        <v>3</v>
      </c>
      <c r="B148" s="1">
        <v>8</v>
      </c>
      <c r="C148" s="1">
        <v>6</v>
      </c>
      <c r="D148" s="1">
        <v>0</v>
      </c>
      <c r="E148" s="1">
        <v>0</v>
      </c>
      <c r="F148" s="4">
        <v>37.5</v>
      </c>
      <c r="G148" s="1">
        <v>3</v>
      </c>
      <c r="H148">
        <v>0.65</v>
      </c>
      <c r="I148" s="1">
        <v>1</v>
      </c>
      <c r="J148">
        <v>0.37</v>
      </c>
      <c r="K148">
        <v>0.11</v>
      </c>
      <c r="L148" t="s">
        <v>19</v>
      </c>
      <c r="M148">
        <v>0</v>
      </c>
      <c r="N148" s="5">
        <v>42082</v>
      </c>
      <c r="O148" s="3">
        <v>5</v>
      </c>
    </row>
    <row r="149" spans="1:15" x14ac:dyDescent="0.3">
      <c r="A149" s="1">
        <v>1</v>
      </c>
      <c r="B149" s="1">
        <v>13</v>
      </c>
      <c r="C149" s="1">
        <v>11</v>
      </c>
      <c r="D149" s="1">
        <v>0</v>
      </c>
      <c r="E149" s="1">
        <v>0</v>
      </c>
      <c r="F149" s="2">
        <v>7.69</v>
      </c>
      <c r="G149" s="1">
        <v>3</v>
      </c>
      <c r="H149">
        <v>0.65</v>
      </c>
      <c r="I149" s="1">
        <v>2</v>
      </c>
      <c r="J149">
        <v>-0.42</v>
      </c>
      <c r="K149">
        <v>0.72</v>
      </c>
      <c r="L149" t="s">
        <v>18</v>
      </c>
      <c r="M149">
        <v>0</v>
      </c>
      <c r="N149" s="5">
        <v>42089</v>
      </c>
      <c r="O149" s="3">
        <v>7</v>
      </c>
    </row>
    <row r="150" spans="1:15" x14ac:dyDescent="0.3">
      <c r="A150" s="1">
        <v>1</v>
      </c>
      <c r="B150" s="1">
        <v>4</v>
      </c>
      <c r="C150" s="1">
        <v>9</v>
      </c>
      <c r="D150" s="1">
        <v>0</v>
      </c>
      <c r="E150" s="1">
        <v>0</v>
      </c>
      <c r="F150" s="1">
        <v>25</v>
      </c>
      <c r="G150" s="1">
        <v>3</v>
      </c>
      <c r="H150">
        <v>0.65</v>
      </c>
      <c r="I150" s="1">
        <v>2</v>
      </c>
      <c r="J150">
        <v>0.37</v>
      </c>
      <c r="K150">
        <v>0.11</v>
      </c>
      <c r="L150" t="s">
        <v>19</v>
      </c>
      <c r="M150">
        <v>1</v>
      </c>
      <c r="N150" s="5">
        <v>42173</v>
      </c>
      <c r="O150" s="3">
        <v>84</v>
      </c>
    </row>
    <row r="151" spans="1:15" x14ac:dyDescent="0.3">
      <c r="A151" s="1">
        <v>23</v>
      </c>
      <c r="B151" s="1">
        <v>27</v>
      </c>
      <c r="C151" s="1">
        <v>57</v>
      </c>
      <c r="D151" s="1">
        <v>3</v>
      </c>
      <c r="E151" s="1">
        <v>1</v>
      </c>
      <c r="F151" s="2">
        <v>85.18</v>
      </c>
      <c r="G151" s="1">
        <v>3</v>
      </c>
      <c r="H151">
        <v>0.14000000000000001</v>
      </c>
      <c r="I151" s="1">
        <v>1</v>
      </c>
      <c r="J151">
        <v>0.37</v>
      </c>
      <c r="K151">
        <v>0.11</v>
      </c>
      <c r="L151" t="s">
        <v>19</v>
      </c>
      <c r="M151">
        <v>1</v>
      </c>
      <c r="N151" s="5">
        <v>42176</v>
      </c>
      <c r="O151" s="3">
        <v>3</v>
      </c>
    </row>
    <row r="152" spans="1:15" x14ac:dyDescent="0.3">
      <c r="A152" s="1">
        <v>25</v>
      </c>
      <c r="B152" s="1">
        <v>35</v>
      </c>
      <c r="C152" s="1">
        <v>55</v>
      </c>
      <c r="D152" s="1">
        <v>1</v>
      </c>
      <c r="E152" s="1">
        <v>0</v>
      </c>
      <c r="F152" s="2">
        <v>71.42</v>
      </c>
      <c r="G152" s="1">
        <v>3</v>
      </c>
      <c r="H152">
        <v>0.15</v>
      </c>
      <c r="I152" s="1">
        <v>1</v>
      </c>
      <c r="J152">
        <v>0.37</v>
      </c>
      <c r="K152">
        <v>0.11</v>
      </c>
      <c r="L152" t="s">
        <v>19</v>
      </c>
      <c r="M152">
        <v>1</v>
      </c>
      <c r="N152" s="5">
        <v>42179</v>
      </c>
      <c r="O152" s="3">
        <v>3</v>
      </c>
    </row>
    <row r="153" spans="1:15" x14ac:dyDescent="0.3">
      <c r="A153" s="1">
        <v>11</v>
      </c>
      <c r="B153" s="1">
        <v>18</v>
      </c>
      <c r="C153" s="1">
        <v>29</v>
      </c>
      <c r="D153" s="1">
        <v>0</v>
      </c>
      <c r="E153" s="1">
        <v>0</v>
      </c>
      <c r="F153" s="2">
        <v>61.11</v>
      </c>
      <c r="G153" s="1">
        <v>4</v>
      </c>
      <c r="H153">
        <v>0.65</v>
      </c>
      <c r="I153" s="1">
        <v>2</v>
      </c>
      <c r="J153">
        <v>0.39</v>
      </c>
      <c r="K153">
        <v>0.18</v>
      </c>
      <c r="L153" t="s">
        <v>20</v>
      </c>
      <c r="M153">
        <v>1</v>
      </c>
      <c r="N153" s="5">
        <v>42288</v>
      </c>
      <c r="O153" s="3">
        <v>109</v>
      </c>
    </row>
    <row r="154" spans="1:15" x14ac:dyDescent="0.3">
      <c r="A154" s="1">
        <v>12</v>
      </c>
      <c r="B154" s="1">
        <v>18</v>
      </c>
      <c r="C154" s="1">
        <v>24</v>
      </c>
      <c r="D154" s="1">
        <v>0</v>
      </c>
      <c r="E154" s="1">
        <v>0</v>
      </c>
      <c r="F154" s="2">
        <v>66.66</v>
      </c>
      <c r="G154" s="1">
        <v>4</v>
      </c>
      <c r="H154">
        <v>0.04</v>
      </c>
      <c r="I154" s="1">
        <v>1</v>
      </c>
      <c r="J154">
        <v>0.39</v>
      </c>
      <c r="K154">
        <v>0.18</v>
      </c>
      <c r="L154" t="s">
        <v>20</v>
      </c>
      <c r="M154">
        <v>1</v>
      </c>
      <c r="N154" s="5">
        <v>42291</v>
      </c>
      <c r="O154" s="3">
        <v>3</v>
      </c>
    </row>
    <row r="155" spans="1:15" x14ac:dyDescent="0.3">
      <c r="A155" s="1">
        <v>77</v>
      </c>
      <c r="B155" s="1">
        <v>99</v>
      </c>
      <c r="C155" s="1">
        <v>155</v>
      </c>
      <c r="D155" s="1">
        <v>5</v>
      </c>
      <c r="E155" s="1">
        <v>0</v>
      </c>
      <c r="F155" s="2">
        <v>77.77</v>
      </c>
      <c r="G155" s="1">
        <v>3</v>
      </c>
      <c r="H155">
        <v>0.65</v>
      </c>
      <c r="I155" s="1">
        <v>2</v>
      </c>
      <c r="J155">
        <v>0.39</v>
      </c>
      <c r="K155">
        <v>0.18</v>
      </c>
      <c r="L155" t="s">
        <v>20</v>
      </c>
      <c r="M155">
        <v>1</v>
      </c>
      <c r="N155" s="5">
        <v>42295</v>
      </c>
      <c r="O155" s="3">
        <v>4</v>
      </c>
    </row>
    <row r="156" spans="1:15" x14ac:dyDescent="0.3">
      <c r="A156" s="1">
        <v>138</v>
      </c>
      <c r="B156" s="1">
        <v>140</v>
      </c>
      <c r="C156" s="1">
        <v>202</v>
      </c>
      <c r="D156" s="1">
        <v>6</v>
      </c>
      <c r="E156" s="1">
        <v>5</v>
      </c>
      <c r="F156" s="2">
        <v>98.57</v>
      </c>
      <c r="G156" s="1">
        <v>3</v>
      </c>
      <c r="H156">
        <v>0.65</v>
      </c>
      <c r="I156" s="1">
        <v>1</v>
      </c>
      <c r="J156">
        <v>0.39</v>
      </c>
      <c r="K156">
        <v>0.18</v>
      </c>
      <c r="L156" t="s">
        <v>20</v>
      </c>
      <c r="M156">
        <v>1</v>
      </c>
      <c r="N156" s="5">
        <v>42299</v>
      </c>
      <c r="O156" s="3">
        <v>4</v>
      </c>
    </row>
    <row r="157" spans="1:15" x14ac:dyDescent="0.3">
      <c r="A157" s="1">
        <v>7</v>
      </c>
      <c r="B157" s="1">
        <v>6</v>
      </c>
      <c r="C157" s="1">
        <v>11</v>
      </c>
      <c r="D157" s="1">
        <v>0</v>
      </c>
      <c r="E157" s="1">
        <v>1</v>
      </c>
      <c r="F157" s="2">
        <v>116.66</v>
      </c>
      <c r="G157" s="1">
        <v>3</v>
      </c>
      <c r="H157">
        <v>0.65</v>
      </c>
      <c r="I157" s="1">
        <v>2</v>
      </c>
      <c r="J157">
        <v>0.39</v>
      </c>
      <c r="K157">
        <v>0.18</v>
      </c>
      <c r="L157" t="s">
        <v>20</v>
      </c>
      <c r="M157">
        <v>1</v>
      </c>
      <c r="N157" s="5">
        <v>42302</v>
      </c>
      <c r="O157" s="3">
        <v>3</v>
      </c>
    </row>
    <row r="158" spans="1:15" x14ac:dyDescent="0.3">
      <c r="A158" s="1">
        <v>91</v>
      </c>
      <c r="B158" s="1">
        <v>97</v>
      </c>
      <c r="C158" s="1">
        <v>148</v>
      </c>
      <c r="D158" s="1">
        <v>9</v>
      </c>
      <c r="E158" s="1">
        <v>1</v>
      </c>
      <c r="F158" s="2">
        <v>93.81</v>
      </c>
      <c r="G158" s="1">
        <v>3</v>
      </c>
      <c r="H158">
        <v>0.65</v>
      </c>
      <c r="I158" s="1">
        <v>1</v>
      </c>
      <c r="J158">
        <v>-0.42</v>
      </c>
      <c r="K158">
        <v>0.72</v>
      </c>
      <c r="L158" t="s">
        <v>18</v>
      </c>
      <c r="M158">
        <v>0</v>
      </c>
      <c r="N158" s="5">
        <v>42381</v>
      </c>
      <c r="O158" s="3">
        <v>79</v>
      </c>
    </row>
    <row r="159" spans="1:15" x14ac:dyDescent="0.3">
      <c r="A159" s="1">
        <v>59</v>
      </c>
      <c r="B159" s="1">
        <v>67</v>
      </c>
      <c r="C159" s="1">
        <v>84</v>
      </c>
      <c r="D159" s="1">
        <v>4</v>
      </c>
      <c r="E159" s="1">
        <v>0</v>
      </c>
      <c r="F159" s="2">
        <v>88.05</v>
      </c>
      <c r="G159" s="1">
        <v>3</v>
      </c>
      <c r="H159">
        <v>0.04</v>
      </c>
      <c r="I159" s="1">
        <v>1</v>
      </c>
      <c r="J159">
        <v>-0.42</v>
      </c>
      <c r="K159">
        <v>0.72</v>
      </c>
      <c r="L159" t="s">
        <v>18</v>
      </c>
      <c r="M159">
        <v>0</v>
      </c>
      <c r="N159" s="5">
        <v>42384</v>
      </c>
      <c r="O159" s="3">
        <v>3</v>
      </c>
    </row>
    <row r="160" spans="1:15" x14ac:dyDescent="0.3">
      <c r="A160" s="1">
        <v>117</v>
      </c>
      <c r="B160" s="1">
        <v>117</v>
      </c>
      <c r="C160" s="1">
        <v>174</v>
      </c>
      <c r="D160" s="1">
        <v>7</v>
      </c>
      <c r="E160" s="1">
        <v>2</v>
      </c>
      <c r="F160" s="1">
        <v>100</v>
      </c>
      <c r="G160" s="1">
        <v>3</v>
      </c>
      <c r="H160">
        <v>0.65</v>
      </c>
      <c r="I160" s="1">
        <v>1</v>
      </c>
      <c r="J160">
        <v>-0.42</v>
      </c>
      <c r="K160">
        <v>0.72</v>
      </c>
      <c r="L160" t="s">
        <v>18</v>
      </c>
      <c r="M160">
        <v>0</v>
      </c>
      <c r="N160" s="5">
        <v>42386</v>
      </c>
      <c r="O160" s="3">
        <v>2</v>
      </c>
    </row>
    <row r="161" spans="1:15" x14ac:dyDescent="0.3">
      <c r="A161" s="1">
        <v>106</v>
      </c>
      <c r="B161" s="1">
        <v>92</v>
      </c>
      <c r="C161" s="1">
        <v>131</v>
      </c>
      <c r="D161" s="1">
        <v>11</v>
      </c>
      <c r="E161" s="1">
        <v>1</v>
      </c>
      <c r="F161" s="2">
        <v>115.21</v>
      </c>
      <c r="G161" s="1">
        <v>3</v>
      </c>
      <c r="H161">
        <v>0.65</v>
      </c>
      <c r="I161" s="1">
        <v>2</v>
      </c>
      <c r="J161">
        <v>-0.42</v>
      </c>
      <c r="K161">
        <v>0.72</v>
      </c>
      <c r="L161" t="s">
        <v>18</v>
      </c>
      <c r="M161">
        <v>0</v>
      </c>
      <c r="N161" s="5">
        <v>42389</v>
      </c>
      <c r="O161" s="3">
        <v>3</v>
      </c>
    </row>
    <row r="162" spans="1:15" x14ac:dyDescent="0.3">
      <c r="A162" s="1">
        <v>8</v>
      </c>
      <c r="B162" s="1">
        <v>11</v>
      </c>
      <c r="C162" s="1">
        <v>11</v>
      </c>
      <c r="D162" s="1">
        <v>1</v>
      </c>
      <c r="E162" s="1">
        <v>0</v>
      </c>
      <c r="F162" s="2">
        <v>72.72</v>
      </c>
      <c r="G162" s="1">
        <v>3</v>
      </c>
      <c r="H162">
        <v>0.65</v>
      </c>
      <c r="I162" s="1">
        <v>2</v>
      </c>
      <c r="J162">
        <v>-0.42</v>
      </c>
      <c r="K162">
        <v>0.72</v>
      </c>
      <c r="L162" t="s">
        <v>18</v>
      </c>
      <c r="M162">
        <v>0</v>
      </c>
      <c r="N162" s="5">
        <v>42392</v>
      </c>
      <c r="O162" s="3">
        <v>3</v>
      </c>
    </row>
    <row r="163" spans="1:15" x14ac:dyDescent="0.3">
      <c r="A163" s="1">
        <v>85</v>
      </c>
      <c r="B163" s="1">
        <v>81</v>
      </c>
      <c r="C163" s="1">
        <v>109</v>
      </c>
      <c r="D163" s="1">
        <v>9</v>
      </c>
      <c r="E163" s="1">
        <v>1</v>
      </c>
      <c r="F163" s="2">
        <v>104.93</v>
      </c>
      <c r="G163" s="1">
        <v>3</v>
      </c>
      <c r="H163">
        <v>0.15</v>
      </c>
      <c r="I163" s="1">
        <v>2</v>
      </c>
      <c r="J163">
        <v>-0.26</v>
      </c>
      <c r="K163">
        <v>0.69</v>
      </c>
      <c r="L163" t="s">
        <v>23</v>
      </c>
      <c r="M163">
        <v>1</v>
      </c>
      <c r="N163" s="5">
        <v>42659</v>
      </c>
      <c r="O163" s="3">
        <v>267</v>
      </c>
    </row>
    <row r="164" spans="1:15" x14ac:dyDescent="0.3">
      <c r="A164" s="1">
        <v>9</v>
      </c>
      <c r="B164" s="1">
        <v>13</v>
      </c>
      <c r="C164" s="1">
        <v>18</v>
      </c>
      <c r="D164" s="1">
        <v>1</v>
      </c>
      <c r="E164" s="1">
        <v>0</v>
      </c>
      <c r="F164" s="2">
        <v>69.23</v>
      </c>
      <c r="G164" s="1">
        <v>3</v>
      </c>
      <c r="H164">
        <v>0.65</v>
      </c>
      <c r="I164" s="1">
        <v>2</v>
      </c>
      <c r="J164">
        <v>-0.26</v>
      </c>
      <c r="K164">
        <v>0.69</v>
      </c>
      <c r="L164" t="s">
        <v>23</v>
      </c>
      <c r="M164">
        <v>1</v>
      </c>
      <c r="N164" s="5">
        <v>42663</v>
      </c>
      <c r="O164" s="3">
        <v>4</v>
      </c>
    </row>
    <row r="165" spans="1:15" x14ac:dyDescent="0.3">
      <c r="A165" s="1">
        <v>154</v>
      </c>
      <c r="B165" s="1">
        <v>134</v>
      </c>
      <c r="C165" s="1">
        <v>202</v>
      </c>
      <c r="D165" s="1">
        <v>16</v>
      </c>
      <c r="E165" s="1">
        <v>1</v>
      </c>
      <c r="F165" s="2">
        <v>114.92</v>
      </c>
      <c r="G165" s="1">
        <v>3</v>
      </c>
      <c r="H165">
        <v>0.15</v>
      </c>
      <c r="I165" s="1">
        <v>2</v>
      </c>
      <c r="J165">
        <v>-0.26</v>
      </c>
      <c r="K165">
        <v>0.69</v>
      </c>
      <c r="L165" t="s">
        <v>23</v>
      </c>
      <c r="M165">
        <v>1</v>
      </c>
      <c r="N165" s="5">
        <v>42666</v>
      </c>
      <c r="O165" s="3">
        <v>3</v>
      </c>
    </row>
    <row r="166" spans="1:15" x14ac:dyDescent="0.3">
      <c r="A166" s="1">
        <v>45</v>
      </c>
      <c r="B166" s="1">
        <v>51</v>
      </c>
      <c r="C166" s="1">
        <v>64</v>
      </c>
      <c r="D166" s="1">
        <v>2</v>
      </c>
      <c r="E166" s="1">
        <v>1</v>
      </c>
      <c r="F166" s="2">
        <v>88.23</v>
      </c>
      <c r="G166" s="1">
        <v>3</v>
      </c>
      <c r="H166">
        <v>0.65</v>
      </c>
      <c r="I166" s="1">
        <v>2</v>
      </c>
      <c r="J166">
        <v>-0.26</v>
      </c>
      <c r="K166">
        <v>0.69</v>
      </c>
      <c r="L166" t="s">
        <v>23</v>
      </c>
      <c r="M166">
        <v>1</v>
      </c>
      <c r="N166" s="5">
        <v>42669</v>
      </c>
      <c r="O166" s="3">
        <v>3</v>
      </c>
    </row>
    <row r="167" spans="1:15" x14ac:dyDescent="0.3">
      <c r="A167" s="1">
        <v>65</v>
      </c>
      <c r="B167" s="1">
        <v>76</v>
      </c>
      <c r="C167" s="1">
        <v>152</v>
      </c>
      <c r="D167" s="1">
        <v>2</v>
      </c>
      <c r="E167" s="1">
        <v>1</v>
      </c>
      <c r="F167" s="2">
        <v>85.52</v>
      </c>
      <c r="G167" s="1">
        <v>3</v>
      </c>
      <c r="H167">
        <v>0.65</v>
      </c>
      <c r="I167" s="1">
        <v>1</v>
      </c>
      <c r="J167">
        <v>-0.26</v>
      </c>
      <c r="K167">
        <v>0.69</v>
      </c>
      <c r="L167" t="s">
        <v>23</v>
      </c>
      <c r="M167">
        <v>1</v>
      </c>
      <c r="N167" s="5">
        <v>42672</v>
      </c>
      <c r="O167" s="3">
        <v>3</v>
      </c>
    </row>
    <row r="168" spans="1:15" x14ac:dyDescent="0.3">
      <c r="A168" s="1">
        <v>122</v>
      </c>
      <c r="B168" s="1">
        <v>105</v>
      </c>
      <c r="C168" s="1">
        <v>147</v>
      </c>
      <c r="D168" s="1">
        <v>8</v>
      </c>
      <c r="E168" s="1">
        <v>5</v>
      </c>
      <c r="F168" s="2">
        <v>116.19</v>
      </c>
      <c r="G168" s="1">
        <v>3</v>
      </c>
      <c r="H168">
        <v>0.65</v>
      </c>
      <c r="I168" s="1">
        <v>2</v>
      </c>
      <c r="J168">
        <v>-0.98</v>
      </c>
      <c r="K168">
        <v>0.63</v>
      </c>
      <c r="L168" t="s">
        <v>24</v>
      </c>
      <c r="M168">
        <v>1</v>
      </c>
      <c r="N168" s="5">
        <v>42750</v>
      </c>
      <c r="O168" s="3">
        <v>78</v>
      </c>
    </row>
    <row r="169" spans="1:15" x14ac:dyDescent="0.3">
      <c r="A169" s="1">
        <v>8</v>
      </c>
      <c r="B169" s="1">
        <v>5</v>
      </c>
      <c r="C169" s="1">
        <v>6</v>
      </c>
      <c r="D169" s="1">
        <v>2</v>
      </c>
      <c r="E169" s="1">
        <v>0</v>
      </c>
      <c r="F169" s="1">
        <v>160</v>
      </c>
      <c r="G169" s="1">
        <v>3</v>
      </c>
      <c r="H169">
        <v>0.65</v>
      </c>
      <c r="I169" s="1">
        <v>1</v>
      </c>
      <c r="J169">
        <v>-0.98</v>
      </c>
      <c r="K169">
        <v>0.63</v>
      </c>
      <c r="L169" t="s">
        <v>24</v>
      </c>
      <c r="M169">
        <v>1</v>
      </c>
      <c r="N169" s="5">
        <v>42754</v>
      </c>
      <c r="O169" s="3">
        <v>4</v>
      </c>
    </row>
    <row r="170" spans="1:15" x14ac:dyDescent="0.3">
      <c r="A170" s="1">
        <v>55</v>
      </c>
      <c r="B170" s="1">
        <v>63</v>
      </c>
      <c r="C170" s="1">
        <v>81</v>
      </c>
      <c r="D170" s="1">
        <v>8</v>
      </c>
      <c r="E170" s="1">
        <v>0</v>
      </c>
      <c r="F170" s="4">
        <v>87.3</v>
      </c>
      <c r="G170" s="1">
        <v>3</v>
      </c>
      <c r="H170">
        <v>0.65</v>
      </c>
      <c r="I170" s="1">
        <v>2</v>
      </c>
      <c r="J170">
        <v>-0.98</v>
      </c>
      <c r="K170">
        <v>0.63</v>
      </c>
      <c r="L170" t="s">
        <v>24</v>
      </c>
      <c r="M170">
        <v>1</v>
      </c>
      <c r="N170" s="5">
        <v>42757</v>
      </c>
      <c r="O170" s="3">
        <v>3</v>
      </c>
    </row>
    <row r="171" spans="1:15" x14ac:dyDescent="0.3">
      <c r="A171" s="1">
        <v>81</v>
      </c>
      <c r="B171" s="1">
        <v>68</v>
      </c>
      <c r="C171" s="1">
        <v>108</v>
      </c>
      <c r="D171" s="1">
        <v>6</v>
      </c>
      <c r="E171" s="1">
        <v>3</v>
      </c>
      <c r="F171" s="2">
        <v>119.11</v>
      </c>
      <c r="G171" s="1">
        <v>3</v>
      </c>
      <c r="H171">
        <v>0.15</v>
      </c>
      <c r="I171" s="1">
        <v>1</v>
      </c>
      <c r="J171">
        <v>-0.15</v>
      </c>
      <c r="K171">
        <v>0.11</v>
      </c>
      <c r="L171" t="s">
        <v>16</v>
      </c>
      <c r="M171">
        <v>0</v>
      </c>
      <c r="N171" s="5">
        <v>42890</v>
      </c>
      <c r="O171" s="3">
        <v>133</v>
      </c>
    </row>
    <row r="172" spans="1:15" x14ac:dyDescent="0.3">
      <c r="A172" s="1">
        <v>0</v>
      </c>
      <c r="B172" s="1">
        <v>5</v>
      </c>
      <c r="C172" s="1">
        <v>5</v>
      </c>
      <c r="D172" s="1">
        <v>0</v>
      </c>
      <c r="E172" s="1">
        <v>0</v>
      </c>
      <c r="F172" s="1">
        <v>0</v>
      </c>
      <c r="G172" s="1">
        <v>3</v>
      </c>
      <c r="H172">
        <v>0.65</v>
      </c>
      <c r="I172" s="1">
        <v>1</v>
      </c>
      <c r="J172">
        <v>-0.14000000000000001</v>
      </c>
      <c r="K172">
        <v>0.3</v>
      </c>
      <c r="L172" t="s">
        <v>15</v>
      </c>
      <c r="M172">
        <v>0</v>
      </c>
      <c r="N172" s="5">
        <v>42894</v>
      </c>
      <c r="O172" s="3">
        <v>4</v>
      </c>
    </row>
    <row r="173" spans="1:15" x14ac:dyDescent="0.3">
      <c r="A173" s="1">
        <v>76</v>
      </c>
      <c r="B173" s="1">
        <v>101</v>
      </c>
      <c r="C173" s="1">
        <v>136</v>
      </c>
      <c r="D173" s="1">
        <v>7</v>
      </c>
      <c r="E173" s="1">
        <v>1</v>
      </c>
      <c r="F173" s="2">
        <v>75.239999999999995</v>
      </c>
      <c r="G173" s="1">
        <v>3</v>
      </c>
      <c r="H173">
        <v>0.15</v>
      </c>
      <c r="I173" s="1">
        <v>2</v>
      </c>
      <c r="J173">
        <v>0.39</v>
      </c>
      <c r="K173">
        <v>0.18</v>
      </c>
      <c r="L173" t="s">
        <v>20</v>
      </c>
      <c r="M173">
        <v>0</v>
      </c>
      <c r="N173" s="5">
        <v>42897</v>
      </c>
      <c r="O173" s="3">
        <v>3</v>
      </c>
    </row>
    <row r="174" spans="1:15" x14ac:dyDescent="0.3">
      <c r="A174" s="1">
        <v>96</v>
      </c>
      <c r="B174" s="1">
        <v>78</v>
      </c>
      <c r="C174" s="1">
        <v>96</v>
      </c>
      <c r="D174" s="1">
        <v>13</v>
      </c>
      <c r="E174" s="1">
        <v>0</v>
      </c>
      <c r="F174" s="2">
        <v>123.07</v>
      </c>
      <c r="G174" s="1">
        <v>3</v>
      </c>
      <c r="H174">
        <v>0.15</v>
      </c>
      <c r="I174" s="1">
        <v>2</v>
      </c>
      <c r="J174">
        <v>0.37</v>
      </c>
      <c r="K174">
        <v>0.11</v>
      </c>
      <c r="L174" t="s">
        <v>19</v>
      </c>
      <c r="M174">
        <v>0</v>
      </c>
      <c r="N174" s="5">
        <v>42901</v>
      </c>
      <c r="O174" s="3">
        <v>4</v>
      </c>
    </row>
    <row r="175" spans="1:15" x14ac:dyDescent="0.3">
      <c r="A175" s="1">
        <v>5</v>
      </c>
      <c r="B175" s="1">
        <v>9</v>
      </c>
      <c r="C175" s="1">
        <v>11</v>
      </c>
      <c r="D175" s="1">
        <v>0</v>
      </c>
      <c r="E175" s="1">
        <v>0</v>
      </c>
      <c r="F175" s="2">
        <v>55.55</v>
      </c>
      <c r="G175" s="1">
        <v>3</v>
      </c>
      <c r="H175">
        <v>0.65</v>
      </c>
      <c r="I175" s="1">
        <v>2</v>
      </c>
      <c r="J175">
        <v>-0.15</v>
      </c>
      <c r="K175">
        <v>0.11</v>
      </c>
      <c r="L175" t="s">
        <v>16</v>
      </c>
      <c r="M175">
        <v>0</v>
      </c>
      <c r="N175" s="5">
        <v>42904</v>
      </c>
      <c r="O175" s="3">
        <v>3</v>
      </c>
    </row>
    <row r="176" spans="1:15" x14ac:dyDescent="0.3">
      <c r="A176" s="1">
        <v>87</v>
      </c>
      <c r="B176" s="1">
        <v>66</v>
      </c>
      <c r="C176" s="1" cm="1">
        <f t="array" ref="C176">TREND($C$2:$C$175,$A$2:$B$175,A176:B176)</f>
        <v>96.811728222074407</v>
      </c>
      <c r="D176" s="1">
        <v>4</v>
      </c>
      <c r="E176" s="1">
        <v>4</v>
      </c>
      <c r="F176" s="2">
        <v>131.81</v>
      </c>
      <c r="G176" s="1">
        <v>3</v>
      </c>
      <c r="H176">
        <v>0.65</v>
      </c>
      <c r="I176" s="1">
        <v>1</v>
      </c>
      <c r="J176">
        <v>-0.06</v>
      </c>
      <c r="K176">
        <v>0.4</v>
      </c>
      <c r="L176" t="s">
        <v>17</v>
      </c>
      <c r="M176">
        <v>0</v>
      </c>
      <c r="N176" s="5">
        <v>42911</v>
      </c>
      <c r="O176" s="3">
        <v>7</v>
      </c>
    </row>
    <row r="177" spans="1:15" x14ac:dyDescent="0.3">
      <c r="A177" s="1">
        <v>11</v>
      </c>
      <c r="B177" s="1">
        <v>22</v>
      </c>
      <c r="C177" s="1" cm="1">
        <f t="array" ref="C177">TREND($C$2:$C$175,$A$2:$B$175,A177:B177)</f>
        <v>29.288567653133853</v>
      </c>
      <c r="D177" s="1">
        <v>2</v>
      </c>
      <c r="E177" s="1">
        <v>0</v>
      </c>
      <c r="F177" s="1">
        <v>50</v>
      </c>
      <c r="G177" s="1">
        <v>3</v>
      </c>
      <c r="H177">
        <v>0.65</v>
      </c>
      <c r="I177" s="1">
        <v>1</v>
      </c>
      <c r="J177">
        <v>-0.06</v>
      </c>
      <c r="K177">
        <v>0.4</v>
      </c>
      <c r="L177" t="s">
        <v>17</v>
      </c>
      <c r="M177">
        <v>0</v>
      </c>
      <c r="N177" s="5">
        <v>42916</v>
      </c>
      <c r="O177" s="3">
        <v>5</v>
      </c>
    </row>
    <row r="178" spans="1:15" x14ac:dyDescent="0.3">
      <c r="A178" s="1">
        <v>3</v>
      </c>
      <c r="B178" s="1">
        <v>12</v>
      </c>
      <c r="C178" s="1" cm="1">
        <f t="array" ref="C178">TREND($C$2:$C$175,$A$2:$B$175,A178:B178)</f>
        <v>15.547231168061364</v>
      </c>
      <c r="D178" s="1">
        <v>0</v>
      </c>
      <c r="E178" s="1">
        <v>0</v>
      </c>
      <c r="F178" s="1">
        <v>25</v>
      </c>
      <c r="G178" s="1">
        <v>3</v>
      </c>
      <c r="H178">
        <v>0.65</v>
      </c>
      <c r="I178" s="1">
        <v>2</v>
      </c>
      <c r="J178">
        <v>-0.06</v>
      </c>
      <c r="K178">
        <v>0.4</v>
      </c>
      <c r="L178" t="s">
        <v>17</v>
      </c>
      <c r="M178">
        <v>0</v>
      </c>
      <c r="N178" s="5">
        <v>42918</v>
      </c>
      <c r="O178" s="3">
        <v>2</v>
      </c>
    </row>
    <row r="179" spans="1:15" x14ac:dyDescent="0.3">
      <c r="A179" s="1">
        <v>111</v>
      </c>
      <c r="B179" s="1">
        <v>115</v>
      </c>
      <c r="C179" s="1" cm="1">
        <f t="array" ref="C179">TREND($C$2:$C$175,$A$2:$B$175,A179:B179)</f>
        <v>161.5136040448549</v>
      </c>
      <c r="D179" s="1">
        <v>12</v>
      </c>
      <c r="E179" s="1">
        <v>2</v>
      </c>
      <c r="F179" s="2">
        <v>96.52</v>
      </c>
      <c r="G179" s="1">
        <v>3</v>
      </c>
      <c r="H179">
        <v>0.15</v>
      </c>
      <c r="I179" s="1">
        <v>2</v>
      </c>
      <c r="J179">
        <v>-0.06</v>
      </c>
      <c r="K179">
        <v>0.4</v>
      </c>
      <c r="L179" t="s">
        <v>17</v>
      </c>
      <c r="M179">
        <v>0</v>
      </c>
      <c r="N179" s="5">
        <v>42922</v>
      </c>
      <c r="O179" s="3">
        <v>4</v>
      </c>
    </row>
    <row r="180" spans="1:15" x14ac:dyDescent="0.3">
      <c r="A180" s="1">
        <v>82</v>
      </c>
      <c r="B180" s="1">
        <v>70</v>
      </c>
      <c r="C180" s="1" cm="1">
        <f t="array" ref="C180">TREND($C$2:$C$175,$A$2:$B$175,A180:B180)</f>
        <v>100.88908398561574</v>
      </c>
      <c r="D180" s="1">
        <v>10</v>
      </c>
      <c r="E180" s="1">
        <v>1</v>
      </c>
      <c r="F180" s="2">
        <v>117.14</v>
      </c>
      <c r="G180" s="1">
        <v>3</v>
      </c>
      <c r="H180">
        <v>0.15</v>
      </c>
      <c r="I180" s="1">
        <v>2</v>
      </c>
      <c r="J180">
        <v>-0.14000000000000001</v>
      </c>
      <c r="K180">
        <v>0.3</v>
      </c>
      <c r="L180" t="s">
        <v>15</v>
      </c>
      <c r="M180">
        <v>0</v>
      </c>
      <c r="N180" s="5">
        <v>42967</v>
      </c>
      <c r="O180" s="3">
        <v>45</v>
      </c>
    </row>
    <row r="181" spans="1:15" x14ac:dyDescent="0.3">
      <c r="A181" s="1">
        <v>4</v>
      </c>
      <c r="B181" s="1">
        <v>2</v>
      </c>
      <c r="C181" s="1" cm="1">
        <f t="array" ref="C181">TREND($C$2:$C$175,$A$2:$B$175,A181:B181)</f>
        <v>3.3635299847436468</v>
      </c>
      <c r="D181" s="1">
        <v>1</v>
      </c>
      <c r="E181" s="1">
        <v>0</v>
      </c>
      <c r="F181" s="1">
        <v>200</v>
      </c>
      <c r="G181" s="1">
        <v>5</v>
      </c>
      <c r="H181">
        <v>0.15</v>
      </c>
      <c r="I181" s="1">
        <v>2</v>
      </c>
      <c r="J181">
        <v>-0.14000000000000001</v>
      </c>
      <c r="K181">
        <v>0.3</v>
      </c>
      <c r="L181" t="s">
        <v>15</v>
      </c>
      <c r="M181">
        <v>0</v>
      </c>
      <c r="N181" s="5">
        <v>42971</v>
      </c>
      <c r="O181" s="3">
        <v>4</v>
      </c>
    </row>
    <row r="182" spans="1:15" x14ac:dyDescent="0.3">
      <c r="A182" s="1">
        <v>3</v>
      </c>
      <c r="B182" s="1">
        <v>11</v>
      </c>
      <c r="C182" s="1" cm="1">
        <f t="array" ref="C182">TREND($C$2:$C$175,$A$2:$B$175,A182:B182)</f>
        <v>14.311553990821206</v>
      </c>
      <c r="D182" s="1">
        <v>0</v>
      </c>
      <c r="E182" s="1">
        <v>0</v>
      </c>
      <c r="F182" s="2">
        <v>27.27</v>
      </c>
      <c r="G182" s="1">
        <v>3</v>
      </c>
      <c r="H182">
        <v>0.65</v>
      </c>
      <c r="I182" s="1">
        <v>2</v>
      </c>
      <c r="J182">
        <v>-0.14000000000000001</v>
      </c>
      <c r="K182">
        <v>0.3</v>
      </c>
      <c r="L182" t="s">
        <v>15</v>
      </c>
      <c r="M182">
        <v>0</v>
      </c>
      <c r="N182" s="5">
        <v>42974</v>
      </c>
      <c r="O182" s="3">
        <v>3</v>
      </c>
    </row>
    <row r="183" spans="1:15" x14ac:dyDescent="0.3">
      <c r="A183" s="1">
        <v>131</v>
      </c>
      <c r="B183" s="1">
        <v>96</v>
      </c>
      <c r="C183" s="1" cm="1">
        <f t="array" ref="C183">TREND($C$2:$C$175,$A$2:$B$175,A183:B183)</f>
        <v>141.49714945896915</v>
      </c>
      <c r="D183" s="1">
        <v>17</v>
      </c>
      <c r="E183" s="1">
        <v>2</v>
      </c>
      <c r="F183" s="2">
        <v>136.44999999999999</v>
      </c>
      <c r="G183" s="1">
        <v>3</v>
      </c>
      <c r="H183">
        <v>0.65</v>
      </c>
      <c r="I183" s="1">
        <v>1</v>
      </c>
      <c r="J183">
        <v>-0.14000000000000001</v>
      </c>
      <c r="K183">
        <v>0.3</v>
      </c>
      <c r="L183" t="s">
        <v>15</v>
      </c>
      <c r="M183">
        <v>0</v>
      </c>
      <c r="N183" s="5">
        <v>42978</v>
      </c>
      <c r="O183" s="3">
        <v>4</v>
      </c>
    </row>
    <row r="184" spans="1:15" x14ac:dyDescent="0.3">
      <c r="A184" s="1">
        <v>110</v>
      </c>
      <c r="B184" s="1">
        <v>116</v>
      </c>
      <c r="C184" s="1" cm="1">
        <f t="array" ref="C184">TREND($C$2:$C$175,$A$2:$B$175,A184:B184)</f>
        <v>162.57621063301119</v>
      </c>
      <c r="D184" s="1">
        <v>9</v>
      </c>
      <c r="E184" s="1">
        <v>0</v>
      </c>
      <c r="F184" s="2">
        <v>94.82</v>
      </c>
      <c r="G184" s="1">
        <v>3</v>
      </c>
      <c r="H184">
        <v>0.15</v>
      </c>
      <c r="I184" s="1">
        <v>2</v>
      </c>
      <c r="J184">
        <v>-0.14000000000000001</v>
      </c>
      <c r="K184">
        <v>0.3</v>
      </c>
      <c r="L184" t="s">
        <v>15</v>
      </c>
      <c r="M184">
        <v>0</v>
      </c>
      <c r="N184" s="5">
        <v>42981</v>
      </c>
      <c r="O184" s="3">
        <v>3</v>
      </c>
    </row>
    <row r="185" spans="1:15" x14ac:dyDescent="0.3">
      <c r="A185" s="1">
        <v>0</v>
      </c>
      <c r="B185" s="1">
        <v>4</v>
      </c>
      <c r="C185" s="1">
        <v>7</v>
      </c>
      <c r="D185" s="1">
        <v>0</v>
      </c>
      <c r="E185" s="1">
        <v>0</v>
      </c>
      <c r="F185" s="1">
        <v>0</v>
      </c>
      <c r="G185" s="1">
        <v>3</v>
      </c>
      <c r="H185">
        <v>0.65</v>
      </c>
      <c r="I185" s="1">
        <v>1</v>
      </c>
      <c r="J185">
        <v>-0.42</v>
      </c>
      <c r="K185">
        <v>0.72</v>
      </c>
      <c r="L185" t="s">
        <v>18</v>
      </c>
      <c r="M185">
        <v>1</v>
      </c>
      <c r="N185" s="5">
        <v>42995</v>
      </c>
      <c r="O185" s="3">
        <v>14</v>
      </c>
    </row>
    <row r="186" spans="1:15" x14ac:dyDescent="0.3">
      <c r="A186" s="1">
        <v>92</v>
      </c>
      <c r="B186" s="1">
        <v>107</v>
      </c>
      <c r="C186" s="1">
        <v>148</v>
      </c>
      <c r="D186" s="1">
        <v>8</v>
      </c>
      <c r="E186" s="1">
        <v>0</v>
      </c>
      <c r="F186" s="2">
        <v>85.98</v>
      </c>
      <c r="G186" s="1">
        <v>3</v>
      </c>
      <c r="H186">
        <v>0.15</v>
      </c>
      <c r="I186" s="1">
        <v>1</v>
      </c>
      <c r="J186">
        <v>-0.42</v>
      </c>
      <c r="K186">
        <v>0.72</v>
      </c>
      <c r="L186" t="s">
        <v>18</v>
      </c>
      <c r="M186">
        <v>1</v>
      </c>
      <c r="N186" s="5">
        <v>42999</v>
      </c>
      <c r="O186" s="3">
        <v>4</v>
      </c>
    </row>
    <row r="187" spans="1:15" x14ac:dyDescent="0.3">
      <c r="A187" s="1">
        <v>28</v>
      </c>
      <c r="B187" s="1">
        <v>35</v>
      </c>
      <c r="C187" s="1">
        <v>58</v>
      </c>
      <c r="D187" s="1">
        <v>2</v>
      </c>
      <c r="E187" s="1">
        <v>0</v>
      </c>
      <c r="F187" s="1">
        <v>80</v>
      </c>
      <c r="G187" s="1">
        <v>3</v>
      </c>
      <c r="H187">
        <v>0.65</v>
      </c>
      <c r="I187" s="1">
        <v>2</v>
      </c>
      <c r="J187">
        <v>-0.42</v>
      </c>
      <c r="K187">
        <v>0.72</v>
      </c>
      <c r="L187" t="s">
        <v>18</v>
      </c>
      <c r="M187">
        <v>1</v>
      </c>
      <c r="N187" s="5">
        <v>43002</v>
      </c>
      <c r="O187" s="3">
        <v>3</v>
      </c>
    </row>
    <row r="188" spans="1:15" x14ac:dyDescent="0.3">
      <c r="A188" s="1">
        <v>21</v>
      </c>
      <c r="B188" s="1">
        <v>21</v>
      </c>
      <c r="C188" s="1">
        <v>23</v>
      </c>
      <c r="D188" s="1">
        <v>3</v>
      </c>
      <c r="E188" s="1">
        <v>0</v>
      </c>
      <c r="F188" s="1">
        <v>100</v>
      </c>
      <c r="G188" s="1">
        <v>3</v>
      </c>
      <c r="H188">
        <v>0.15</v>
      </c>
      <c r="I188" s="1">
        <v>2</v>
      </c>
      <c r="J188">
        <v>-0.42</v>
      </c>
      <c r="K188">
        <v>0.72</v>
      </c>
      <c r="L188" t="s">
        <v>18</v>
      </c>
      <c r="M188">
        <v>1</v>
      </c>
      <c r="N188" s="5">
        <v>43006</v>
      </c>
      <c r="O188" s="3">
        <v>4</v>
      </c>
    </row>
    <row r="189" spans="1:15" x14ac:dyDescent="0.3">
      <c r="A189" s="1">
        <v>39</v>
      </c>
      <c r="B189" s="1">
        <v>55</v>
      </c>
      <c r="C189" s="1">
        <v>73</v>
      </c>
      <c r="D189" s="1">
        <v>2</v>
      </c>
      <c r="E189" s="1">
        <v>0</v>
      </c>
      <c r="F189" s="4">
        <v>70.900000000000006</v>
      </c>
      <c r="G189" s="1">
        <v>3</v>
      </c>
      <c r="H189">
        <v>0.65</v>
      </c>
      <c r="I189" s="1">
        <v>2</v>
      </c>
      <c r="J189">
        <v>-0.42</v>
      </c>
      <c r="K189">
        <v>0.72</v>
      </c>
      <c r="L189" t="s">
        <v>18</v>
      </c>
      <c r="M189">
        <v>1</v>
      </c>
      <c r="N189" s="5">
        <v>43009</v>
      </c>
      <c r="O189" s="3">
        <v>3</v>
      </c>
    </row>
    <row r="190" spans="1:15" x14ac:dyDescent="0.3">
      <c r="A190" s="1">
        <v>121</v>
      </c>
      <c r="B190" s="1">
        <v>125</v>
      </c>
      <c r="C190" s="1">
        <v>203</v>
      </c>
      <c r="D190" s="1">
        <v>9</v>
      </c>
      <c r="E190" s="1">
        <v>2</v>
      </c>
      <c r="F190" s="4">
        <v>96.8</v>
      </c>
      <c r="G190" s="1">
        <v>3</v>
      </c>
      <c r="H190">
        <v>0.65</v>
      </c>
      <c r="I190" s="1">
        <v>1</v>
      </c>
      <c r="J190">
        <v>-0.26</v>
      </c>
      <c r="K190">
        <v>0.69</v>
      </c>
      <c r="L190" t="s">
        <v>23</v>
      </c>
      <c r="M190">
        <v>1</v>
      </c>
      <c r="N190" s="5">
        <v>43030</v>
      </c>
      <c r="O190" s="3">
        <v>21</v>
      </c>
    </row>
    <row r="191" spans="1:15" x14ac:dyDescent="0.3">
      <c r="A191" s="1">
        <v>29</v>
      </c>
      <c r="B191" s="1">
        <v>29</v>
      </c>
      <c r="C191" s="1">
        <v>40</v>
      </c>
      <c r="D191" s="1">
        <v>3</v>
      </c>
      <c r="E191" s="1">
        <v>1</v>
      </c>
      <c r="F191" s="1">
        <v>100</v>
      </c>
      <c r="G191" s="1">
        <v>3</v>
      </c>
      <c r="H191">
        <v>0.65</v>
      </c>
      <c r="I191" s="1">
        <v>2</v>
      </c>
      <c r="J191">
        <v>-0.26</v>
      </c>
      <c r="K191">
        <v>0.69</v>
      </c>
      <c r="L191" t="s">
        <v>23</v>
      </c>
      <c r="M191">
        <v>1</v>
      </c>
      <c r="N191" s="5">
        <v>43033</v>
      </c>
      <c r="O191" s="3">
        <v>3</v>
      </c>
    </row>
    <row r="192" spans="1:15" x14ac:dyDescent="0.3">
      <c r="A192" s="1">
        <v>113</v>
      </c>
      <c r="B192" s="1">
        <v>106</v>
      </c>
      <c r="C192" s="1">
        <v>166</v>
      </c>
      <c r="D192" s="1">
        <v>9</v>
      </c>
      <c r="E192" s="1">
        <v>1</v>
      </c>
      <c r="F192" s="4">
        <v>106.6</v>
      </c>
      <c r="G192" s="1">
        <v>3</v>
      </c>
      <c r="H192">
        <v>0.65</v>
      </c>
      <c r="I192" s="1">
        <v>1</v>
      </c>
      <c r="J192">
        <v>-0.26</v>
      </c>
      <c r="K192">
        <v>0.69</v>
      </c>
      <c r="L192" t="s">
        <v>23</v>
      </c>
      <c r="M192">
        <v>1</v>
      </c>
      <c r="N192" s="5">
        <v>43037</v>
      </c>
      <c r="O192" s="3">
        <v>4</v>
      </c>
    </row>
    <row r="193" spans="1:15" x14ac:dyDescent="0.3">
      <c r="A193" s="1">
        <v>112</v>
      </c>
      <c r="B193" s="1">
        <v>119</v>
      </c>
      <c r="C193" s="1">
        <v>164</v>
      </c>
      <c r="D193" s="1">
        <v>10</v>
      </c>
      <c r="E193" s="1">
        <v>0</v>
      </c>
      <c r="F193" s="2">
        <v>94.11</v>
      </c>
      <c r="G193" s="1">
        <v>3</v>
      </c>
      <c r="H193">
        <v>0.65</v>
      </c>
      <c r="I193" s="1">
        <v>2</v>
      </c>
      <c r="J193">
        <v>0.39</v>
      </c>
      <c r="K193">
        <v>0.18</v>
      </c>
      <c r="L193" t="s">
        <v>20</v>
      </c>
      <c r="M193">
        <v>0</v>
      </c>
      <c r="N193" s="5">
        <v>43132</v>
      </c>
      <c r="O193" s="3">
        <v>95</v>
      </c>
    </row>
    <row r="194" spans="1:15" x14ac:dyDescent="0.3">
      <c r="A194" s="1">
        <v>46</v>
      </c>
      <c r="B194" s="1">
        <v>50</v>
      </c>
      <c r="C194" s="1">
        <v>64</v>
      </c>
      <c r="D194" s="1">
        <v>4</v>
      </c>
      <c r="E194" s="1">
        <v>1</v>
      </c>
      <c r="F194" s="1">
        <v>92</v>
      </c>
      <c r="G194" s="1">
        <v>3</v>
      </c>
      <c r="H194">
        <v>0.15</v>
      </c>
      <c r="I194" s="1">
        <v>2</v>
      </c>
      <c r="J194">
        <v>0.39</v>
      </c>
      <c r="K194">
        <v>0.18</v>
      </c>
      <c r="L194" t="s">
        <v>20</v>
      </c>
      <c r="M194">
        <v>0</v>
      </c>
      <c r="N194" s="5">
        <v>43135</v>
      </c>
      <c r="O194" s="3">
        <v>3</v>
      </c>
    </row>
    <row r="195" spans="1:15" x14ac:dyDescent="0.3">
      <c r="A195" s="1">
        <v>160</v>
      </c>
      <c r="B195" s="1">
        <v>159</v>
      </c>
      <c r="C195" s="1">
        <v>220</v>
      </c>
      <c r="D195" s="1">
        <v>12</v>
      </c>
      <c r="E195" s="1">
        <v>2</v>
      </c>
      <c r="F195" s="2">
        <v>100.62</v>
      </c>
      <c r="G195" s="1">
        <v>3</v>
      </c>
      <c r="H195">
        <v>0.15</v>
      </c>
      <c r="I195" s="1">
        <v>1</v>
      </c>
      <c r="J195">
        <v>0.39</v>
      </c>
      <c r="K195">
        <v>0.18</v>
      </c>
      <c r="L195" t="s">
        <v>20</v>
      </c>
      <c r="M195">
        <v>0</v>
      </c>
      <c r="N195" s="5">
        <v>43138</v>
      </c>
      <c r="O195" s="3">
        <v>3</v>
      </c>
    </row>
    <row r="196" spans="1:15" x14ac:dyDescent="0.3">
      <c r="A196" s="1">
        <v>75</v>
      </c>
      <c r="B196" s="1">
        <v>83</v>
      </c>
      <c r="C196" s="1">
        <v>119</v>
      </c>
      <c r="D196" s="1">
        <v>7</v>
      </c>
      <c r="E196" s="1">
        <v>1</v>
      </c>
      <c r="F196" s="2">
        <v>90.36</v>
      </c>
      <c r="G196" s="1">
        <v>3</v>
      </c>
      <c r="H196">
        <v>0.65</v>
      </c>
      <c r="I196" s="1">
        <v>1</v>
      </c>
      <c r="J196">
        <v>0.39</v>
      </c>
      <c r="K196">
        <v>0.18</v>
      </c>
      <c r="L196" t="s">
        <v>20</v>
      </c>
      <c r="M196">
        <v>0</v>
      </c>
      <c r="N196" s="5">
        <v>43141</v>
      </c>
      <c r="O196" s="3">
        <v>3</v>
      </c>
    </row>
    <row r="197" spans="1:15" x14ac:dyDescent="0.3">
      <c r="A197" s="1">
        <v>36</v>
      </c>
      <c r="B197" s="1">
        <v>54</v>
      </c>
      <c r="C197" s="1">
        <v>76</v>
      </c>
      <c r="D197" s="1">
        <v>2</v>
      </c>
      <c r="E197" s="1">
        <v>0</v>
      </c>
      <c r="F197" s="2">
        <v>66.66</v>
      </c>
      <c r="G197" s="1">
        <v>3</v>
      </c>
      <c r="H197">
        <v>0.04</v>
      </c>
      <c r="I197" s="1">
        <v>1</v>
      </c>
      <c r="J197">
        <v>0.39</v>
      </c>
      <c r="K197">
        <v>0.18</v>
      </c>
      <c r="L197" t="s">
        <v>20</v>
      </c>
      <c r="M197">
        <v>0</v>
      </c>
      <c r="N197" s="5">
        <v>43144</v>
      </c>
      <c r="O197" s="3">
        <v>3</v>
      </c>
    </row>
    <row r="198" spans="1:15" x14ac:dyDescent="0.3">
      <c r="A198" s="1">
        <v>129</v>
      </c>
      <c r="B198" s="1">
        <v>96</v>
      </c>
      <c r="C198" s="1">
        <v>123</v>
      </c>
      <c r="D198" s="1">
        <v>19</v>
      </c>
      <c r="E198" s="1">
        <v>2</v>
      </c>
      <c r="F198" s="2">
        <v>134.37</v>
      </c>
      <c r="G198" s="1">
        <v>3</v>
      </c>
      <c r="H198">
        <v>0.15</v>
      </c>
      <c r="I198" s="1">
        <v>2</v>
      </c>
      <c r="J198">
        <v>0.39</v>
      </c>
      <c r="K198">
        <v>0.18</v>
      </c>
      <c r="L198" t="s">
        <v>20</v>
      </c>
      <c r="M198">
        <v>0</v>
      </c>
      <c r="N198" s="5">
        <v>43147</v>
      </c>
      <c r="O198" s="3">
        <v>3</v>
      </c>
    </row>
    <row r="199" spans="1:15" x14ac:dyDescent="0.3">
      <c r="A199" s="1">
        <v>75</v>
      </c>
      <c r="B199" s="1">
        <v>82</v>
      </c>
      <c r="C199" s="1" cm="1">
        <f t="array" ref="C199">TREND($C$2:$C$198,$A$2:$B$198,A199:B199)</f>
        <v>114.84161313079952</v>
      </c>
      <c r="D199" s="1">
        <v>7</v>
      </c>
      <c r="E199" s="1">
        <v>0</v>
      </c>
      <c r="F199" s="2">
        <v>91.46</v>
      </c>
      <c r="G199" s="1">
        <v>3</v>
      </c>
      <c r="H199">
        <v>0.02</v>
      </c>
      <c r="I199" s="1">
        <v>2</v>
      </c>
      <c r="J199">
        <v>-0.98</v>
      </c>
      <c r="K199">
        <v>0.63</v>
      </c>
      <c r="L199" t="s">
        <v>24</v>
      </c>
      <c r="M199">
        <v>0</v>
      </c>
      <c r="N199" s="5">
        <v>43293</v>
      </c>
      <c r="O199" s="3">
        <v>146</v>
      </c>
    </row>
    <row r="200" spans="1:15" x14ac:dyDescent="0.3">
      <c r="A200" s="1">
        <v>45</v>
      </c>
      <c r="B200" s="1">
        <v>56</v>
      </c>
      <c r="C200" s="1" cm="1">
        <f t="array" ref="C200">TREND($C$2:$C$198,$A$2:$B$198,A200:B200)</f>
        <v>77.463357730235487</v>
      </c>
      <c r="D200" s="1">
        <v>2</v>
      </c>
      <c r="E200" s="1">
        <v>0</v>
      </c>
      <c r="F200" s="2">
        <v>80.349999999999994</v>
      </c>
      <c r="G200" s="1">
        <v>3</v>
      </c>
      <c r="H200">
        <v>0.14000000000000001</v>
      </c>
      <c r="I200" s="1">
        <v>2</v>
      </c>
      <c r="J200">
        <v>-0.98</v>
      </c>
      <c r="K200">
        <v>0.63</v>
      </c>
      <c r="L200" t="s">
        <v>24</v>
      </c>
      <c r="M200">
        <v>0</v>
      </c>
      <c r="N200" s="5">
        <v>43295</v>
      </c>
      <c r="O200" s="3">
        <v>2</v>
      </c>
    </row>
    <row r="201" spans="1:15" x14ac:dyDescent="0.3">
      <c r="A201" s="1">
        <v>71</v>
      </c>
      <c r="B201" s="1">
        <v>72</v>
      </c>
      <c r="C201" s="1">
        <v>98</v>
      </c>
      <c r="D201" s="1">
        <v>8</v>
      </c>
      <c r="E201" s="1">
        <v>0</v>
      </c>
      <c r="F201" s="2">
        <v>98.61</v>
      </c>
      <c r="G201" s="1">
        <v>3</v>
      </c>
      <c r="H201">
        <v>0.15</v>
      </c>
      <c r="I201" s="1">
        <v>1</v>
      </c>
      <c r="J201">
        <v>-0.98</v>
      </c>
      <c r="K201">
        <v>0.63</v>
      </c>
      <c r="L201" t="s">
        <v>24</v>
      </c>
      <c r="M201">
        <v>0</v>
      </c>
      <c r="N201" s="5">
        <v>43298</v>
      </c>
      <c r="O201" s="3">
        <v>3</v>
      </c>
    </row>
    <row r="202" spans="1:15" x14ac:dyDescent="0.3">
      <c r="A202" s="1">
        <v>140</v>
      </c>
      <c r="B202" s="1">
        <v>107</v>
      </c>
      <c r="C202" s="1" cm="1">
        <f t="array" ref="C202">TREND(C2:C201,A2:B201,A202:B202)</f>
        <v>156.1886978368361</v>
      </c>
      <c r="D202" s="1">
        <v>21</v>
      </c>
      <c r="E202" s="1">
        <v>2</v>
      </c>
      <c r="F202" s="2">
        <v>130.84</v>
      </c>
      <c r="G202" s="1">
        <v>3</v>
      </c>
      <c r="H202">
        <v>0.02</v>
      </c>
      <c r="I202" s="1">
        <v>2</v>
      </c>
      <c r="J202">
        <v>-0.06</v>
      </c>
      <c r="K202">
        <v>0.4</v>
      </c>
      <c r="L202" t="s">
        <v>17</v>
      </c>
      <c r="M202">
        <v>1</v>
      </c>
      <c r="N202" s="5">
        <v>43394</v>
      </c>
      <c r="O202" s="3">
        <v>96</v>
      </c>
    </row>
    <row r="203" spans="1:15" x14ac:dyDescent="0.3">
      <c r="A203" s="1">
        <v>157</v>
      </c>
      <c r="B203" s="1">
        <v>129</v>
      </c>
      <c r="C203" s="1">
        <v>217</v>
      </c>
      <c r="D203" s="1">
        <v>13</v>
      </c>
      <c r="E203" s="1">
        <v>4</v>
      </c>
      <c r="F203" s="4">
        <v>121.7</v>
      </c>
      <c r="G203" s="1">
        <v>3</v>
      </c>
      <c r="H203">
        <v>0.15</v>
      </c>
      <c r="I203" s="1">
        <v>1</v>
      </c>
      <c r="J203">
        <v>-0.06</v>
      </c>
      <c r="K203">
        <v>0.4</v>
      </c>
      <c r="L203" t="s">
        <v>17</v>
      </c>
      <c r="M203">
        <v>1</v>
      </c>
      <c r="N203" s="5">
        <v>43397</v>
      </c>
      <c r="O203" s="3">
        <v>3</v>
      </c>
    </row>
    <row r="204" spans="1:15" x14ac:dyDescent="0.3">
      <c r="A204" s="1">
        <v>107</v>
      </c>
      <c r="B204" s="1">
        <v>119</v>
      </c>
      <c r="C204" s="1" cm="1">
        <f t="array" ref="C204">TREND(C2:$C$203,$A$2:$B$203,A204:B204)</f>
        <v>166.70353175893192</v>
      </c>
      <c r="D204" s="1">
        <v>10</v>
      </c>
      <c r="E204" s="1">
        <v>1</v>
      </c>
      <c r="F204" s="2">
        <v>89.91</v>
      </c>
      <c r="G204" s="1">
        <v>3</v>
      </c>
      <c r="H204">
        <v>0.15</v>
      </c>
      <c r="I204" s="1">
        <v>2</v>
      </c>
      <c r="J204">
        <v>-0.06</v>
      </c>
      <c r="K204">
        <v>0.4</v>
      </c>
      <c r="L204" t="s">
        <v>17</v>
      </c>
      <c r="M204">
        <v>1</v>
      </c>
      <c r="N204" s="5">
        <v>43400</v>
      </c>
      <c r="O204" s="3">
        <v>3</v>
      </c>
    </row>
    <row r="205" spans="1:15" x14ac:dyDescent="0.3">
      <c r="A205" s="1">
        <v>16</v>
      </c>
      <c r="B205" s="1">
        <v>17</v>
      </c>
      <c r="C205" s="1" cm="1">
        <f t="array" ref="C205">TREND(C2:$C$203,$A$2:$B$203,A205:B205)</f>
        <v>23.807797206369333</v>
      </c>
      <c r="D205" s="1">
        <v>2</v>
      </c>
      <c r="E205" s="1">
        <v>0</v>
      </c>
      <c r="F205" s="2">
        <v>94.11</v>
      </c>
      <c r="G205" s="1">
        <v>3</v>
      </c>
      <c r="H205">
        <v>0.65</v>
      </c>
      <c r="I205" s="1">
        <v>1</v>
      </c>
      <c r="J205">
        <v>-0.06</v>
      </c>
      <c r="K205">
        <v>0.4</v>
      </c>
      <c r="L205" t="s">
        <v>17</v>
      </c>
      <c r="M205">
        <v>0</v>
      </c>
      <c r="N205" s="5">
        <v>43402</v>
      </c>
      <c r="O205" s="3">
        <v>2</v>
      </c>
    </row>
    <row r="206" spans="1:15" x14ac:dyDescent="0.3">
      <c r="A206" s="1">
        <v>33</v>
      </c>
      <c r="B206" s="1">
        <v>29</v>
      </c>
      <c r="C206" s="1">
        <v>57</v>
      </c>
      <c r="D206" s="1">
        <v>6</v>
      </c>
      <c r="E206" s="1">
        <v>0</v>
      </c>
      <c r="F206" s="2">
        <v>113.79</v>
      </c>
      <c r="G206" s="1">
        <v>3</v>
      </c>
      <c r="H206">
        <v>0.15</v>
      </c>
      <c r="I206" s="1">
        <v>2</v>
      </c>
      <c r="J206">
        <v>-0.06</v>
      </c>
      <c r="K206">
        <v>0.4</v>
      </c>
      <c r="L206" t="s">
        <v>17</v>
      </c>
      <c r="M206">
        <v>1</v>
      </c>
      <c r="N206" s="5">
        <v>43405</v>
      </c>
      <c r="O206" s="3">
        <v>3</v>
      </c>
    </row>
    <row r="207" spans="1:15" x14ac:dyDescent="0.3">
      <c r="A207" s="1">
        <v>3</v>
      </c>
      <c r="B207" s="1">
        <v>8</v>
      </c>
      <c r="C207" s="1">
        <v>10</v>
      </c>
      <c r="D207" s="1">
        <v>0</v>
      </c>
      <c r="E207" s="1">
        <v>0</v>
      </c>
      <c r="F207" s="4">
        <v>37.5</v>
      </c>
      <c r="G207" s="1">
        <v>3</v>
      </c>
      <c r="H207">
        <v>0.65</v>
      </c>
      <c r="I207" s="1">
        <v>2</v>
      </c>
      <c r="J207">
        <v>-0.42</v>
      </c>
      <c r="K207">
        <v>0.72</v>
      </c>
      <c r="L207" t="s">
        <v>18</v>
      </c>
      <c r="M207">
        <v>0</v>
      </c>
      <c r="N207" s="5">
        <v>43477</v>
      </c>
      <c r="O207" s="3">
        <v>72</v>
      </c>
    </row>
    <row r="208" spans="1:15" x14ac:dyDescent="0.3">
      <c r="A208" s="1">
        <v>104</v>
      </c>
      <c r="B208" s="1">
        <v>112</v>
      </c>
      <c r="C208" s="1">
        <v>150</v>
      </c>
      <c r="D208" s="1">
        <v>5</v>
      </c>
      <c r="E208" s="1">
        <v>2</v>
      </c>
      <c r="F208" s="2">
        <v>92.85</v>
      </c>
      <c r="G208" s="1">
        <v>3</v>
      </c>
      <c r="H208">
        <v>0.65</v>
      </c>
      <c r="I208" s="1">
        <v>2</v>
      </c>
      <c r="J208">
        <v>-0.42</v>
      </c>
      <c r="K208">
        <v>0.72</v>
      </c>
      <c r="L208" t="s">
        <v>18</v>
      </c>
      <c r="M208">
        <v>0</v>
      </c>
      <c r="N208" s="5">
        <v>43480</v>
      </c>
      <c r="O208" s="3">
        <v>3</v>
      </c>
    </row>
    <row r="209" spans="1:15" x14ac:dyDescent="0.3">
      <c r="A209" s="1">
        <v>46</v>
      </c>
      <c r="B209" s="1">
        <v>62</v>
      </c>
      <c r="C209" s="1" cm="1">
        <f t="array" ref="C209">TREND($C$2:$C$208,$A$2:$B$208,A209:B209)</f>
        <v>84.998992031410054</v>
      </c>
      <c r="D209" s="1">
        <v>3</v>
      </c>
      <c r="E209" s="1">
        <v>0</v>
      </c>
      <c r="F209" s="2">
        <v>74.19</v>
      </c>
      <c r="G209" s="1">
        <v>3</v>
      </c>
      <c r="H209">
        <v>0.65</v>
      </c>
      <c r="I209" s="1">
        <v>2</v>
      </c>
      <c r="J209">
        <v>-0.42</v>
      </c>
      <c r="K209">
        <v>0.72</v>
      </c>
      <c r="L209" t="s">
        <v>18</v>
      </c>
      <c r="M209">
        <v>0</v>
      </c>
      <c r="N209" s="5">
        <v>43483</v>
      </c>
      <c r="O209" s="3">
        <v>3</v>
      </c>
    </row>
    <row r="210" spans="1:15" x14ac:dyDescent="0.3">
      <c r="A210" s="1">
        <v>45</v>
      </c>
      <c r="B210" s="1">
        <v>59</v>
      </c>
      <c r="C210" s="1">
        <v>59</v>
      </c>
      <c r="D210" s="1">
        <v>3</v>
      </c>
      <c r="E210" s="1">
        <v>0</v>
      </c>
      <c r="F210" s="2">
        <v>76.27</v>
      </c>
      <c r="G210" s="1">
        <v>3</v>
      </c>
      <c r="H210">
        <v>0.65</v>
      </c>
      <c r="I210" s="1">
        <v>2</v>
      </c>
      <c r="J210">
        <v>-0.26</v>
      </c>
      <c r="K210">
        <v>0.69</v>
      </c>
      <c r="L210" t="s">
        <v>23</v>
      </c>
      <c r="M210">
        <v>0</v>
      </c>
      <c r="N210" s="5">
        <v>43488</v>
      </c>
      <c r="O210" s="3">
        <v>5</v>
      </c>
    </row>
    <row r="211" spans="1:15" x14ac:dyDescent="0.3">
      <c r="A211" s="1">
        <v>43</v>
      </c>
      <c r="B211" s="1">
        <v>45</v>
      </c>
      <c r="C211" s="1">
        <v>59</v>
      </c>
      <c r="D211" s="1">
        <v>5</v>
      </c>
      <c r="E211" s="1">
        <v>0</v>
      </c>
      <c r="F211" s="2">
        <v>95.55</v>
      </c>
      <c r="G211" s="1">
        <v>3</v>
      </c>
      <c r="H211">
        <v>0.65</v>
      </c>
      <c r="I211" s="1">
        <v>1</v>
      </c>
      <c r="J211">
        <v>-0.26</v>
      </c>
      <c r="K211">
        <v>0.69</v>
      </c>
      <c r="L211" t="s">
        <v>23</v>
      </c>
      <c r="M211">
        <v>0</v>
      </c>
      <c r="N211" s="5">
        <v>43491</v>
      </c>
      <c r="O211" s="3">
        <v>3</v>
      </c>
    </row>
    <row r="212" spans="1:15" x14ac:dyDescent="0.3">
      <c r="A212" s="1">
        <v>60</v>
      </c>
      <c r="B212" s="1">
        <v>74</v>
      </c>
      <c r="C212" s="1">
        <v>94</v>
      </c>
      <c r="D212" s="1">
        <v>6</v>
      </c>
      <c r="E212" s="1">
        <v>1</v>
      </c>
      <c r="F212" s="2">
        <v>81.08</v>
      </c>
      <c r="G212" s="1">
        <v>3</v>
      </c>
      <c r="H212">
        <v>0.65</v>
      </c>
      <c r="I212" s="1">
        <v>2</v>
      </c>
      <c r="J212">
        <v>-0.26</v>
      </c>
      <c r="K212">
        <v>0.69</v>
      </c>
      <c r="L212" t="s">
        <v>23</v>
      </c>
      <c r="M212">
        <v>0</v>
      </c>
      <c r="N212" s="5">
        <v>43493</v>
      </c>
      <c r="O212" s="3">
        <v>2</v>
      </c>
    </row>
    <row r="213" spans="1:15" x14ac:dyDescent="0.3">
      <c r="A213" s="1">
        <v>44</v>
      </c>
      <c r="B213" s="1">
        <v>45</v>
      </c>
      <c r="C213" s="1" cm="1">
        <f t="array" ref="C213">TREND($C$2:$C$212,$A$2:$B$212,A213:B213)</f>
        <v>63.513078145108288</v>
      </c>
      <c r="D213" s="1">
        <v>6</v>
      </c>
      <c r="E213" s="1">
        <v>1</v>
      </c>
      <c r="F213" s="2">
        <v>97.77</v>
      </c>
      <c r="G213" s="1">
        <v>3</v>
      </c>
      <c r="H213">
        <v>0.14000000000000001</v>
      </c>
      <c r="I213" s="1">
        <v>2</v>
      </c>
      <c r="J213">
        <v>-0.42</v>
      </c>
      <c r="K213">
        <v>0.72</v>
      </c>
      <c r="L213" t="s">
        <v>18</v>
      </c>
      <c r="M213">
        <v>1</v>
      </c>
      <c r="N213" s="5">
        <v>43526</v>
      </c>
      <c r="O213" s="3">
        <v>33</v>
      </c>
    </row>
    <row r="214" spans="1:15" x14ac:dyDescent="0.3">
      <c r="A214" s="1">
        <v>116</v>
      </c>
      <c r="B214" s="1">
        <v>120</v>
      </c>
      <c r="C214" s="1" cm="1">
        <f t="array" ref="C214">TREND($C$2:$C$212,$A$2:$B$212,A214:B214)</f>
        <v>169.13513816320869</v>
      </c>
      <c r="D214" s="1">
        <v>10</v>
      </c>
      <c r="E214" s="1">
        <v>0</v>
      </c>
      <c r="F214" s="2">
        <v>96.66</v>
      </c>
      <c r="G214" s="1">
        <v>3</v>
      </c>
      <c r="H214">
        <v>0.65</v>
      </c>
      <c r="I214" s="1">
        <v>1</v>
      </c>
      <c r="J214">
        <v>-0.42</v>
      </c>
      <c r="K214">
        <v>0.72</v>
      </c>
      <c r="L214" t="s">
        <v>18</v>
      </c>
      <c r="M214">
        <v>1</v>
      </c>
      <c r="N214" s="5">
        <v>43529</v>
      </c>
      <c r="O214" s="3">
        <v>3</v>
      </c>
    </row>
    <row r="215" spans="1:15" x14ac:dyDescent="0.3">
      <c r="A215" s="1">
        <v>123</v>
      </c>
      <c r="B215" s="1">
        <v>95</v>
      </c>
      <c r="C215" s="1" cm="1">
        <f t="array" ref="C215">TREND($C$2:$C$212,$A$2:$B$212,A215:B215)</f>
        <v>139.88082457430698</v>
      </c>
      <c r="D215" s="1">
        <v>16</v>
      </c>
      <c r="E215" s="1">
        <v>1</v>
      </c>
      <c r="F215" s="2">
        <v>129.47</v>
      </c>
      <c r="G215" s="1">
        <v>3</v>
      </c>
      <c r="H215">
        <v>0.15</v>
      </c>
      <c r="I215" s="1">
        <v>2</v>
      </c>
      <c r="J215">
        <v>-0.42</v>
      </c>
      <c r="K215">
        <v>0.72</v>
      </c>
      <c r="L215" t="s">
        <v>18</v>
      </c>
      <c r="M215">
        <v>1</v>
      </c>
      <c r="N215" s="5">
        <v>43532</v>
      </c>
      <c r="O215" s="3">
        <v>3</v>
      </c>
    </row>
    <row r="216" spans="1:15" x14ac:dyDescent="0.3">
      <c r="A216" s="1">
        <v>7</v>
      </c>
      <c r="B216" s="1">
        <v>6</v>
      </c>
      <c r="C216" s="1" cm="1">
        <f t="array" ref="C216">TREND($C$2:$C$212,$A$2:$B$212,A216:B216)</f>
        <v>8.6741016934446016</v>
      </c>
      <c r="D216" s="1">
        <v>1</v>
      </c>
      <c r="E216" s="1">
        <v>0</v>
      </c>
      <c r="F216" s="2">
        <v>116.66</v>
      </c>
      <c r="G216" s="1">
        <v>4</v>
      </c>
      <c r="H216">
        <v>0.65</v>
      </c>
      <c r="I216" s="1">
        <v>1</v>
      </c>
      <c r="J216">
        <v>-0.42</v>
      </c>
      <c r="K216">
        <v>0.72</v>
      </c>
      <c r="L216" t="s">
        <v>18</v>
      </c>
      <c r="M216">
        <v>1</v>
      </c>
      <c r="N216" s="5">
        <v>43534</v>
      </c>
      <c r="O216" s="3">
        <v>2</v>
      </c>
    </row>
    <row r="217" spans="1:15" x14ac:dyDescent="0.3">
      <c r="A217" s="1">
        <v>20</v>
      </c>
      <c r="B217" s="1">
        <v>22</v>
      </c>
      <c r="C217" s="1" cm="1">
        <f t="array" ref="C217">TREND($C$2:$C$212,$A$2:$B$212,A217:B217)</f>
        <v>30.753608675442663</v>
      </c>
      <c r="D217" s="1">
        <v>2</v>
      </c>
      <c r="E217" s="1">
        <v>0</v>
      </c>
      <c r="F217" s="4">
        <v>90.9</v>
      </c>
      <c r="G217" s="1">
        <v>3</v>
      </c>
      <c r="H217">
        <v>0.65</v>
      </c>
      <c r="I217" s="1">
        <v>2</v>
      </c>
      <c r="J217">
        <v>-0.42</v>
      </c>
      <c r="K217">
        <v>0.72</v>
      </c>
      <c r="L217" t="s">
        <v>18</v>
      </c>
      <c r="M217">
        <v>1</v>
      </c>
      <c r="N217" s="5">
        <v>43537</v>
      </c>
      <c r="O217" s="3">
        <v>3</v>
      </c>
    </row>
    <row r="218" spans="1:15" x14ac:dyDescent="0.3">
      <c r="A218" s="1">
        <v>18</v>
      </c>
      <c r="B218" s="1">
        <v>34</v>
      </c>
      <c r="C218" s="1">
        <v>44</v>
      </c>
      <c r="D218" s="1">
        <v>1</v>
      </c>
      <c r="E218" s="1">
        <v>0</v>
      </c>
      <c r="F218" s="2">
        <v>52.94</v>
      </c>
      <c r="G218" s="1">
        <v>3</v>
      </c>
      <c r="H218">
        <v>0.65</v>
      </c>
      <c r="I218" s="1">
        <v>2</v>
      </c>
      <c r="J218">
        <v>0.39</v>
      </c>
      <c r="K218">
        <v>0.18</v>
      </c>
      <c r="L218" t="s">
        <v>20</v>
      </c>
      <c r="M218">
        <v>0</v>
      </c>
      <c r="N218" s="5">
        <v>43621</v>
      </c>
      <c r="O218" s="3">
        <v>84</v>
      </c>
    </row>
    <row r="219" spans="1:15" x14ac:dyDescent="0.3">
      <c r="A219" s="1">
        <v>82</v>
      </c>
      <c r="B219" s="1">
        <v>77</v>
      </c>
      <c r="C219" s="1">
        <v>128</v>
      </c>
      <c r="D219" s="1">
        <v>4</v>
      </c>
      <c r="E219" s="1">
        <v>2</v>
      </c>
      <c r="F219" s="2">
        <v>106.49</v>
      </c>
      <c r="G219" s="1">
        <v>3</v>
      </c>
      <c r="H219">
        <v>0.65</v>
      </c>
      <c r="I219" s="1">
        <v>1</v>
      </c>
      <c r="J219">
        <v>-0.42</v>
      </c>
      <c r="K219">
        <v>0.72</v>
      </c>
      <c r="L219" t="s">
        <v>18</v>
      </c>
      <c r="M219">
        <v>0</v>
      </c>
      <c r="N219" s="5">
        <v>43625</v>
      </c>
      <c r="O219" s="3">
        <v>4</v>
      </c>
    </row>
    <row r="220" spans="1:15" x14ac:dyDescent="0.3">
      <c r="A220" s="1">
        <v>77</v>
      </c>
      <c r="B220" s="1">
        <v>65</v>
      </c>
      <c r="C220" s="1">
        <v>105</v>
      </c>
      <c r="D220" s="1">
        <v>7</v>
      </c>
      <c r="E220" s="1">
        <v>0</v>
      </c>
      <c r="F220" s="2">
        <v>118.46</v>
      </c>
      <c r="G220" s="1">
        <v>3</v>
      </c>
      <c r="H220">
        <v>0.65</v>
      </c>
      <c r="I220" s="1">
        <v>1</v>
      </c>
      <c r="J220">
        <v>-0.15</v>
      </c>
      <c r="K220">
        <v>0.11</v>
      </c>
      <c r="L220" t="s">
        <v>16</v>
      </c>
      <c r="M220">
        <v>0</v>
      </c>
      <c r="N220" s="5">
        <v>43632</v>
      </c>
      <c r="O220" s="3">
        <v>7</v>
      </c>
    </row>
    <row r="221" spans="1:15" x14ac:dyDescent="0.3">
      <c r="A221" s="1">
        <v>67</v>
      </c>
      <c r="B221" s="1">
        <v>63</v>
      </c>
      <c r="C221" s="1">
        <v>105</v>
      </c>
      <c r="D221" s="1">
        <v>5</v>
      </c>
      <c r="E221" s="1">
        <v>0</v>
      </c>
      <c r="F221" s="2">
        <v>106.34</v>
      </c>
      <c r="G221" s="1">
        <v>3</v>
      </c>
      <c r="H221">
        <v>0.65</v>
      </c>
      <c r="I221" s="1">
        <v>1</v>
      </c>
      <c r="J221">
        <v>2.59</v>
      </c>
      <c r="K221">
        <v>-0.88</v>
      </c>
      <c r="L221" t="s">
        <v>27</v>
      </c>
      <c r="M221">
        <v>0</v>
      </c>
      <c r="N221" s="5">
        <v>43638</v>
      </c>
      <c r="O221" s="3">
        <v>6</v>
      </c>
    </row>
    <row r="222" spans="1:15" x14ac:dyDescent="0.3">
      <c r="A222" s="1">
        <v>72</v>
      </c>
      <c r="B222" s="1">
        <v>82</v>
      </c>
      <c r="C222" s="1">
        <v>146</v>
      </c>
      <c r="D222" s="1">
        <v>8</v>
      </c>
      <c r="E222" s="1">
        <v>0</v>
      </c>
      <c r="F222" s="4">
        <v>87.8</v>
      </c>
      <c r="G222" s="1">
        <v>3</v>
      </c>
      <c r="H222">
        <v>0.65</v>
      </c>
      <c r="I222" s="1">
        <v>1</v>
      </c>
      <c r="J222">
        <v>-0.06</v>
      </c>
      <c r="K222">
        <v>0.4</v>
      </c>
      <c r="L222" t="s">
        <v>17</v>
      </c>
      <c r="M222">
        <v>0</v>
      </c>
      <c r="N222" s="5">
        <v>43643</v>
      </c>
      <c r="O222" s="3">
        <v>5</v>
      </c>
    </row>
    <row r="223" spans="1:15" x14ac:dyDescent="0.3">
      <c r="A223" s="1">
        <v>66</v>
      </c>
      <c r="B223" s="1">
        <v>76</v>
      </c>
      <c r="C223" s="1">
        <v>103</v>
      </c>
      <c r="D223" s="1">
        <v>7</v>
      </c>
      <c r="E223" s="1">
        <v>0</v>
      </c>
      <c r="F223" s="2">
        <v>86.84</v>
      </c>
      <c r="G223" s="1">
        <v>3</v>
      </c>
      <c r="H223">
        <v>0.65</v>
      </c>
      <c r="I223" s="1">
        <v>2</v>
      </c>
      <c r="J223">
        <v>-0.98</v>
      </c>
      <c r="K223">
        <v>0.63</v>
      </c>
      <c r="L223" t="s">
        <v>24</v>
      </c>
      <c r="M223">
        <v>0</v>
      </c>
      <c r="N223" s="5">
        <v>43646</v>
      </c>
      <c r="O223" s="3">
        <v>3</v>
      </c>
    </row>
    <row r="224" spans="1:15" x14ac:dyDescent="0.3">
      <c r="A224" s="1">
        <v>26</v>
      </c>
      <c r="B224" s="1">
        <v>27</v>
      </c>
      <c r="C224" s="1">
        <v>45</v>
      </c>
      <c r="D224" s="1">
        <v>3</v>
      </c>
      <c r="E224" s="1">
        <v>0</v>
      </c>
      <c r="F224" s="2">
        <v>96.29</v>
      </c>
      <c r="G224" s="1">
        <v>3</v>
      </c>
      <c r="H224">
        <v>0.65</v>
      </c>
      <c r="I224" s="1">
        <v>1</v>
      </c>
      <c r="J224">
        <v>0.37</v>
      </c>
      <c r="K224">
        <v>0.11</v>
      </c>
      <c r="L224" t="s">
        <v>19</v>
      </c>
      <c r="M224">
        <v>0</v>
      </c>
      <c r="N224" s="5">
        <v>43648</v>
      </c>
      <c r="O224" s="3">
        <v>2</v>
      </c>
    </row>
    <row r="225" spans="1:15" x14ac:dyDescent="0.3">
      <c r="A225" s="1">
        <v>34</v>
      </c>
      <c r="B225" s="1">
        <v>41</v>
      </c>
      <c r="C225" s="1">
        <v>61</v>
      </c>
      <c r="D225" s="1">
        <v>3</v>
      </c>
      <c r="E225" s="1">
        <v>0</v>
      </c>
      <c r="F225" s="2">
        <v>82.92</v>
      </c>
      <c r="G225" s="1">
        <v>3</v>
      </c>
      <c r="H225">
        <v>0.15</v>
      </c>
      <c r="I225" s="1">
        <v>2</v>
      </c>
      <c r="J225">
        <v>-0.14000000000000001</v>
      </c>
      <c r="K225">
        <v>0.3</v>
      </c>
      <c r="L225" t="s">
        <v>15</v>
      </c>
      <c r="M225">
        <v>0</v>
      </c>
      <c r="N225" s="5">
        <v>43652</v>
      </c>
      <c r="O225" s="3">
        <v>4</v>
      </c>
    </row>
    <row r="226" spans="1:15" x14ac:dyDescent="0.3">
      <c r="A226" s="1">
        <v>1</v>
      </c>
      <c r="B226" s="1">
        <v>6</v>
      </c>
      <c r="C226" s="1">
        <v>8</v>
      </c>
      <c r="D226" s="1">
        <v>0</v>
      </c>
      <c r="E226" s="1">
        <v>0</v>
      </c>
      <c r="F226" s="2">
        <v>16.66</v>
      </c>
      <c r="G226" s="1">
        <v>3</v>
      </c>
      <c r="H226">
        <v>0.14000000000000001</v>
      </c>
      <c r="I226" s="1">
        <v>2</v>
      </c>
      <c r="J226">
        <v>-0.26</v>
      </c>
      <c r="K226">
        <v>0.69</v>
      </c>
      <c r="L226" t="s">
        <v>23</v>
      </c>
      <c r="M226">
        <v>0</v>
      </c>
      <c r="N226" s="5">
        <v>43655</v>
      </c>
      <c r="O226" s="3">
        <v>3</v>
      </c>
    </row>
    <row r="227" spans="1:15" x14ac:dyDescent="0.3">
      <c r="A227" s="1">
        <v>120</v>
      </c>
      <c r="B227" s="1">
        <v>125</v>
      </c>
      <c r="C227" s="1">
        <v>179</v>
      </c>
      <c r="D227" s="1">
        <v>14</v>
      </c>
      <c r="E227" s="1">
        <v>1</v>
      </c>
      <c r="F227" s="1">
        <v>96</v>
      </c>
      <c r="G227" s="1">
        <v>3</v>
      </c>
      <c r="H227">
        <v>0.65</v>
      </c>
      <c r="I227" s="1">
        <v>1</v>
      </c>
      <c r="J227">
        <v>-0.06</v>
      </c>
      <c r="K227">
        <v>0.4</v>
      </c>
      <c r="L227" t="s">
        <v>17</v>
      </c>
      <c r="M227">
        <v>0</v>
      </c>
      <c r="N227" s="5">
        <v>43688</v>
      </c>
      <c r="O227" s="3">
        <v>33</v>
      </c>
    </row>
    <row r="228" spans="1:15" x14ac:dyDescent="0.3">
      <c r="A228" s="1">
        <v>114</v>
      </c>
      <c r="B228" s="1">
        <v>99</v>
      </c>
      <c r="C228" s="1">
        <v>127</v>
      </c>
      <c r="D228" s="1">
        <v>14</v>
      </c>
      <c r="E228" s="1">
        <v>0</v>
      </c>
      <c r="F228" s="2">
        <v>115.15</v>
      </c>
      <c r="G228" s="1">
        <v>3</v>
      </c>
      <c r="H228">
        <v>0.15</v>
      </c>
      <c r="I228" s="1">
        <v>2</v>
      </c>
      <c r="J228">
        <v>-0.06</v>
      </c>
      <c r="K228">
        <v>0.4</v>
      </c>
      <c r="L228" t="s">
        <v>17</v>
      </c>
      <c r="M228">
        <v>0</v>
      </c>
      <c r="N228" s="5">
        <v>43691</v>
      </c>
      <c r="O228" s="3">
        <v>3</v>
      </c>
    </row>
    <row r="229" spans="1:15" x14ac:dyDescent="0.3">
      <c r="A229" s="1">
        <v>4</v>
      </c>
      <c r="B229" s="1">
        <v>4</v>
      </c>
      <c r="C229" s="1" cm="1">
        <f t="array" ref="C229">TREND($C$2:$C$228,$A$2:$B$228,A229:B229)</f>
        <v>5.8400437779268479</v>
      </c>
      <c r="D229" s="1">
        <v>1</v>
      </c>
      <c r="E229" s="1">
        <v>0</v>
      </c>
      <c r="F229" s="1">
        <v>100</v>
      </c>
      <c r="G229" s="1">
        <v>3</v>
      </c>
      <c r="H229">
        <v>0.15</v>
      </c>
      <c r="I229" s="1">
        <v>1</v>
      </c>
      <c r="J229">
        <v>-0.06</v>
      </c>
      <c r="K229">
        <v>0.4</v>
      </c>
      <c r="L229" t="s">
        <v>17</v>
      </c>
      <c r="M229">
        <v>1</v>
      </c>
      <c r="N229" s="5">
        <v>43814</v>
      </c>
      <c r="O229" s="3">
        <v>123</v>
      </c>
    </row>
    <row r="230" spans="1:15" x14ac:dyDescent="0.3">
      <c r="A230" s="1">
        <v>0</v>
      </c>
      <c r="B230" s="1">
        <v>1</v>
      </c>
      <c r="C230" s="1" cm="1">
        <f t="array" ref="C230">TREND($C$2:$C$228,$A$2:$B$228,A230:B230)</f>
        <v>1.3957566367756715</v>
      </c>
      <c r="D230" s="1">
        <v>0</v>
      </c>
      <c r="E230" s="1">
        <v>0</v>
      </c>
      <c r="F230" s="1">
        <v>0</v>
      </c>
      <c r="G230" s="1">
        <v>3</v>
      </c>
      <c r="H230">
        <v>0.65</v>
      </c>
      <c r="I230" s="1">
        <v>1</v>
      </c>
      <c r="J230">
        <v>-0.06</v>
      </c>
      <c r="K230">
        <v>0.4</v>
      </c>
      <c r="L230" t="s">
        <v>17</v>
      </c>
      <c r="M230">
        <v>1</v>
      </c>
      <c r="N230" s="5">
        <v>43817</v>
      </c>
      <c r="O230" s="3">
        <v>3</v>
      </c>
    </row>
    <row r="231" spans="1:15" x14ac:dyDescent="0.3">
      <c r="A231" s="1">
        <v>85</v>
      </c>
      <c r="B231" s="1">
        <v>81</v>
      </c>
      <c r="C231" s="1" cm="1">
        <f t="array" ref="C231">TREND($C$2:$C$228,$A$2:$B$228,A231:B231)</f>
        <v>115.80174964395819</v>
      </c>
      <c r="D231" s="1">
        <v>9</v>
      </c>
      <c r="E231" s="1">
        <v>0</v>
      </c>
      <c r="F231" s="2">
        <v>104.93</v>
      </c>
      <c r="G231" s="1">
        <v>3</v>
      </c>
      <c r="H231">
        <v>0.15</v>
      </c>
      <c r="I231" s="1">
        <v>2</v>
      </c>
      <c r="J231">
        <v>-0.06</v>
      </c>
      <c r="K231">
        <v>0.4</v>
      </c>
      <c r="L231" t="s">
        <v>17</v>
      </c>
      <c r="M231">
        <v>1</v>
      </c>
      <c r="N231" s="5">
        <v>43821</v>
      </c>
      <c r="O231" s="3">
        <v>4</v>
      </c>
    </row>
    <row r="232" spans="1:15" x14ac:dyDescent="0.3">
      <c r="A232" s="1">
        <v>16</v>
      </c>
      <c r="B232" s="1">
        <v>14</v>
      </c>
      <c r="C232" s="1" cm="1">
        <f t="array" ref="C232">TREND($C$2:$C$228,$A$2:$B$228,A232:B232)</f>
        <v>20.401513894163152</v>
      </c>
      <c r="D232" s="1">
        <v>0</v>
      </c>
      <c r="E232" s="1">
        <v>1</v>
      </c>
      <c r="F232" s="2">
        <v>114.28</v>
      </c>
      <c r="G232" s="1">
        <v>4</v>
      </c>
      <c r="H232">
        <v>0.65</v>
      </c>
      <c r="I232" s="1">
        <v>1</v>
      </c>
      <c r="J232">
        <v>-0.42</v>
      </c>
      <c r="K232">
        <v>0.72</v>
      </c>
      <c r="L232" t="s">
        <v>18</v>
      </c>
      <c r="M232">
        <v>1</v>
      </c>
      <c r="N232" s="5">
        <v>43844</v>
      </c>
      <c r="O232" s="3">
        <v>23</v>
      </c>
    </row>
    <row r="233" spans="1:15" x14ac:dyDescent="0.3">
      <c r="A233" s="1">
        <v>78</v>
      </c>
      <c r="B233" s="1">
        <v>76</v>
      </c>
      <c r="C233" s="1" cm="1">
        <f t="array" ref="C233">TREND($C$2:$C$228,$A$2:$B$228,A233:B233)</f>
        <v>108.33139932013933</v>
      </c>
      <c r="D233" s="1">
        <v>6</v>
      </c>
      <c r="E233" s="1">
        <v>0</v>
      </c>
      <c r="F233" s="2">
        <v>102.63</v>
      </c>
      <c r="G233" s="1">
        <v>3</v>
      </c>
      <c r="H233">
        <v>0.65</v>
      </c>
      <c r="I233" s="1">
        <v>1</v>
      </c>
      <c r="J233">
        <v>-0.42</v>
      </c>
      <c r="K233">
        <v>0.72</v>
      </c>
      <c r="L233" t="s">
        <v>18</v>
      </c>
      <c r="M233">
        <v>1</v>
      </c>
      <c r="N233" s="5">
        <v>43847</v>
      </c>
      <c r="O233" s="3">
        <v>3</v>
      </c>
    </row>
    <row r="234" spans="1:15" x14ac:dyDescent="0.3">
      <c r="A234" s="1">
        <v>89</v>
      </c>
      <c r="B234" s="1">
        <v>91</v>
      </c>
      <c r="C234" s="1" cm="1">
        <f t="array" ref="C234">TREND($C$2:$C$228,$A$2:$B$228,A234:B234)</f>
        <v>128.84629763458878</v>
      </c>
      <c r="D234" s="1">
        <v>8</v>
      </c>
      <c r="E234" s="1">
        <v>0</v>
      </c>
      <c r="F234" s="4">
        <v>97.8</v>
      </c>
      <c r="G234" s="1">
        <v>3</v>
      </c>
      <c r="H234">
        <v>0.15</v>
      </c>
      <c r="I234" s="1">
        <v>2</v>
      </c>
      <c r="J234">
        <v>-0.42</v>
      </c>
      <c r="K234">
        <v>0.72</v>
      </c>
      <c r="L234" t="s">
        <v>18</v>
      </c>
      <c r="M234">
        <v>1</v>
      </c>
      <c r="N234" s="5">
        <v>43849</v>
      </c>
      <c r="O234" s="3">
        <v>2</v>
      </c>
    </row>
    <row r="235" spans="1:15" x14ac:dyDescent="0.3">
      <c r="A235" s="1">
        <v>51</v>
      </c>
      <c r="B235" s="1">
        <v>63</v>
      </c>
      <c r="C235" s="1">
        <v>88</v>
      </c>
      <c r="D235" s="1">
        <v>6</v>
      </c>
      <c r="E235" s="1">
        <v>0</v>
      </c>
      <c r="F235" s="2">
        <v>80.95</v>
      </c>
      <c r="G235" s="1">
        <v>3</v>
      </c>
      <c r="H235">
        <v>0.15</v>
      </c>
      <c r="I235" s="1">
        <v>1</v>
      </c>
      <c r="J235">
        <v>-0.26</v>
      </c>
      <c r="K235">
        <v>0.69</v>
      </c>
      <c r="L235" t="s">
        <v>23</v>
      </c>
      <c r="M235">
        <v>0</v>
      </c>
      <c r="N235" s="5">
        <v>43866</v>
      </c>
      <c r="O235" s="3">
        <v>17</v>
      </c>
    </row>
    <row r="236" spans="1:15" x14ac:dyDescent="0.3">
      <c r="A236" s="1">
        <v>15</v>
      </c>
      <c r="B236" s="1">
        <v>25</v>
      </c>
      <c r="C236" s="1">
        <v>31</v>
      </c>
      <c r="D236" s="1">
        <v>1</v>
      </c>
      <c r="E236" s="1">
        <v>0</v>
      </c>
      <c r="F236" s="1">
        <v>60</v>
      </c>
      <c r="G236" s="1">
        <v>3</v>
      </c>
      <c r="H236">
        <v>0.15</v>
      </c>
      <c r="I236" s="1">
        <v>2</v>
      </c>
      <c r="J236">
        <v>-0.26</v>
      </c>
      <c r="K236">
        <v>0.69</v>
      </c>
      <c r="L236" t="s">
        <v>23</v>
      </c>
      <c r="M236">
        <v>0</v>
      </c>
      <c r="N236" s="5">
        <v>43869</v>
      </c>
      <c r="O236" s="3">
        <v>3</v>
      </c>
    </row>
    <row r="237" spans="1:15" x14ac:dyDescent="0.3">
      <c r="A237" s="1">
        <v>9</v>
      </c>
      <c r="B237" s="1">
        <v>12</v>
      </c>
      <c r="C237" s="1">
        <v>20</v>
      </c>
      <c r="D237" s="1">
        <v>0</v>
      </c>
      <c r="E237" s="1">
        <v>1</v>
      </c>
      <c r="F237" s="1">
        <v>75</v>
      </c>
      <c r="G237" s="1">
        <v>3</v>
      </c>
      <c r="H237">
        <v>0.65</v>
      </c>
      <c r="I237" s="1">
        <v>1</v>
      </c>
      <c r="J237">
        <v>-0.26</v>
      </c>
      <c r="K237">
        <v>0.69</v>
      </c>
      <c r="L237" t="s">
        <v>23</v>
      </c>
      <c r="M237">
        <v>0</v>
      </c>
      <c r="N237" s="5">
        <v>43872</v>
      </c>
      <c r="O237" s="3">
        <v>3</v>
      </c>
    </row>
    <row r="238" spans="1:15" x14ac:dyDescent="0.3">
      <c r="A238" s="1">
        <v>21</v>
      </c>
      <c r="B238" s="1">
        <v>21</v>
      </c>
      <c r="C238" s="1" cm="1">
        <f t="array" ref="C238">TREND($C$2:$C$237,$A$2:$B$237,A238:B238)</f>
        <v>29.963078504721743</v>
      </c>
      <c r="D238" s="1">
        <v>2</v>
      </c>
      <c r="E238" s="1">
        <v>1</v>
      </c>
      <c r="F238" s="1">
        <v>100</v>
      </c>
      <c r="G238" s="1">
        <v>3</v>
      </c>
      <c r="H238">
        <v>0.65</v>
      </c>
      <c r="I238" s="1">
        <v>2</v>
      </c>
      <c r="J238">
        <v>-0.42</v>
      </c>
      <c r="K238">
        <v>0.72</v>
      </c>
      <c r="L238" t="s">
        <v>18</v>
      </c>
      <c r="M238">
        <v>0</v>
      </c>
      <c r="N238" s="5">
        <v>44162</v>
      </c>
      <c r="O238" s="3">
        <v>290</v>
      </c>
    </row>
    <row r="239" spans="1:15" x14ac:dyDescent="0.3">
      <c r="A239" s="1">
        <v>21</v>
      </c>
      <c r="B239" s="1">
        <v>21</v>
      </c>
      <c r="C239" s="1" cm="1">
        <f t="array" ref="C239">TREND($C$2:$C$237,$A$2:$B$237,A239:B239)</f>
        <v>29.963078504721743</v>
      </c>
      <c r="D239" s="1">
        <v>2</v>
      </c>
      <c r="E239" s="1">
        <v>1</v>
      </c>
      <c r="F239" s="1">
        <v>100</v>
      </c>
      <c r="G239" s="1">
        <v>3</v>
      </c>
      <c r="H239">
        <v>0.65</v>
      </c>
      <c r="I239" s="1">
        <v>2</v>
      </c>
      <c r="J239">
        <v>-0.42</v>
      </c>
      <c r="K239">
        <v>0.72</v>
      </c>
      <c r="L239" t="s">
        <v>18</v>
      </c>
      <c r="M239">
        <v>0</v>
      </c>
      <c r="N239" s="5">
        <v>44162</v>
      </c>
      <c r="O239" s="3">
        <v>0</v>
      </c>
    </row>
    <row r="240" spans="1:15" x14ac:dyDescent="0.3">
      <c r="A240" s="1">
        <v>89</v>
      </c>
      <c r="B240" s="1">
        <v>87</v>
      </c>
      <c r="C240" s="1" cm="1">
        <f t="array" ref="C240">TREND($C$2:$C$237,$A$2:$B$237,A240:B240)</f>
        <v>123.93448915482797</v>
      </c>
      <c r="D240" s="1">
        <v>7</v>
      </c>
      <c r="E240" s="1">
        <v>2</v>
      </c>
      <c r="F240" s="2">
        <v>102.29</v>
      </c>
      <c r="G240" s="1">
        <v>3</v>
      </c>
      <c r="H240">
        <v>0.65</v>
      </c>
      <c r="I240" s="1">
        <v>2</v>
      </c>
      <c r="J240">
        <v>-0.42</v>
      </c>
      <c r="K240">
        <v>0.72</v>
      </c>
      <c r="L240" t="s">
        <v>18</v>
      </c>
      <c r="M240">
        <v>0</v>
      </c>
      <c r="N240" s="5">
        <v>44164</v>
      </c>
      <c r="O240" s="3">
        <v>2</v>
      </c>
    </row>
    <row r="241" spans="1:15" x14ac:dyDescent="0.3">
      <c r="A241" s="1">
        <v>89</v>
      </c>
      <c r="B241" s="1">
        <v>87</v>
      </c>
      <c r="C241" s="1" cm="1">
        <f t="array" ref="C241">TREND($C$2:$C$237,$A$2:$B$237,A241:B241)</f>
        <v>123.93448915482797</v>
      </c>
      <c r="D241" s="1">
        <v>7</v>
      </c>
      <c r="E241" s="1">
        <v>2</v>
      </c>
      <c r="F241" s="2">
        <v>102.29</v>
      </c>
      <c r="G241" s="1">
        <v>3</v>
      </c>
      <c r="H241">
        <v>0.65</v>
      </c>
      <c r="I241" s="1">
        <v>2</v>
      </c>
      <c r="J241">
        <v>-0.42</v>
      </c>
      <c r="K241">
        <v>0.72</v>
      </c>
      <c r="L241" t="s">
        <v>18</v>
      </c>
      <c r="M241">
        <v>0</v>
      </c>
      <c r="N241" s="5">
        <v>44164</v>
      </c>
      <c r="O241" s="3">
        <v>0</v>
      </c>
    </row>
    <row r="242" spans="1:15" x14ac:dyDescent="0.3">
      <c r="A242" s="1">
        <v>63</v>
      </c>
      <c r="B242" s="1">
        <v>78</v>
      </c>
      <c r="C242" s="1" cm="1">
        <f t="array" ref="C242">TREND($C$2:$C$237,$A$2:$B$237,A242:B242)</f>
        <v>107.94085895831701</v>
      </c>
      <c r="D242" s="1">
        <v>5</v>
      </c>
      <c r="E242" s="1">
        <v>0</v>
      </c>
      <c r="F242" s="2">
        <v>80.760000000000005</v>
      </c>
      <c r="G242" s="1">
        <v>3</v>
      </c>
      <c r="H242">
        <v>0.65</v>
      </c>
      <c r="I242" s="1">
        <v>1</v>
      </c>
      <c r="J242">
        <v>-0.42</v>
      </c>
      <c r="K242">
        <v>0.72</v>
      </c>
      <c r="L242" t="s">
        <v>18</v>
      </c>
      <c r="M242">
        <v>0</v>
      </c>
      <c r="N242" s="5">
        <v>44167</v>
      </c>
      <c r="O242" s="3">
        <v>3</v>
      </c>
    </row>
    <row r="243" spans="1:15" x14ac:dyDescent="0.3">
      <c r="A243" s="1">
        <v>63</v>
      </c>
      <c r="B243" s="1">
        <v>78</v>
      </c>
      <c r="C243" s="1" cm="1">
        <f t="array" ref="C243">TREND($C$2:$C$237,$A$2:$B$237,A243:B243)</f>
        <v>107.94085895831701</v>
      </c>
      <c r="D243" s="1">
        <v>5</v>
      </c>
      <c r="E243" s="1">
        <v>0</v>
      </c>
      <c r="F243" s="2">
        <v>80.760000000000005</v>
      </c>
      <c r="G243" s="1">
        <v>3</v>
      </c>
      <c r="H243">
        <v>0.65</v>
      </c>
      <c r="I243" s="1">
        <v>1</v>
      </c>
      <c r="J243">
        <v>-0.42</v>
      </c>
      <c r="K243">
        <v>0.72</v>
      </c>
      <c r="L243" t="s">
        <v>18</v>
      </c>
      <c r="M243">
        <v>0</v>
      </c>
      <c r="N243" s="5">
        <v>44167</v>
      </c>
      <c r="O243" s="3">
        <v>0</v>
      </c>
    </row>
    <row r="244" spans="1:15" x14ac:dyDescent="0.3">
      <c r="A244" s="1">
        <v>56</v>
      </c>
      <c r="B244" s="1">
        <v>60</v>
      </c>
      <c r="C244" s="1">
        <v>65</v>
      </c>
      <c r="D244" s="1">
        <v>6</v>
      </c>
      <c r="E244" s="1">
        <v>0</v>
      </c>
      <c r="F244" s="2">
        <v>93.33</v>
      </c>
      <c r="G244" s="1">
        <v>3</v>
      </c>
      <c r="H244">
        <v>0.65</v>
      </c>
      <c r="I244" s="1">
        <v>1</v>
      </c>
      <c r="J244">
        <v>-0.98</v>
      </c>
      <c r="K244">
        <v>0.63</v>
      </c>
      <c r="L244" t="s">
        <v>24</v>
      </c>
      <c r="M244">
        <v>1</v>
      </c>
      <c r="N244" s="5">
        <v>44278</v>
      </c>
      <c r="O244" s="3">
        <v>111</v>
      </c>
    </row>
    <row r="245" spans="1:15" x14ac:dyDescent="0.3">
      <c r="A245" s="1">
        <v>56</v>
      </c>
      <c r="B245" s="1">
        <v>60</v>
      </c>
      <c r="C245" s="1">
        <v>65</v>
      </c>
      <c r="D245" s="1">
        <v>6</v>
      </c>
      <c r="E245" s="1">
        <v>0</v>
      </c>
      <c r="F245" s="2">
        <v>93.33</v>
      </c>
      <c r="G245" s="1">
        <v>3</v>
      </c>
      <c r="H245">
        <v>0.65</v>
      </c>
      <c r="I245" s="1">
        <v>1</v>
      </c>
      <c r="J245">
        <v>-0.98</v>
      </c>
      <c r="K245">
        <v>0.63</v>
      </c>
      <c r="L245" t="s">
        <v>24</v>
      </c>
      <c r="M245">
        <v>1</v>
      </c>
      <c r="N245" s="5">
        <v>44278</v>
      </c>
      <c r="O245" s="3">
        <v>0</v>
      </c>
    </row>
    <row r="246" spans="1:15" x14ac:dyDescent="0.3">
      <c r="A246" s="1">
        <v>66</v>
      </c>
      <c r="B246" s="1">
        <v>79</v>
      </c>
      <c r="C246" s="1">
        <v>110</v>
      </c>
      <c r="D246" s="1">
        <v>3</v>
      </c>
      <c r="E246" s="1">
        <v>1</v>
      </c>
      <c r="F246" s="2">
        <v>83.54</v>
      </c>
      <c r="G246" s="1">
        <v>3</v>
      </c>
      <c r="H246">
        <v>0.65</v>
      </c>
      <c r="I246" s="1">
        <v>1</v>
      </c>
      <c r="J246">
        <v>-0.98</v>
      </c>
      <c r="K246">
        <v>0.63</v>
      </c>
      <c r="L246" t="s">
        <v>24</v>
      </c>
      <c r="M246">
        <v>1</v>
      </c>
      <c r="N246" s="5">
        <v>44281</v>
      </c>
      <c r="O246" s="3">
        <v>3</v>
      </c>
    </row>
    <row r="247" spans="1:15" x14ac:dyDescent="0.3">
      <c r="A247" s="1">
        <v>66</v>
      </c>
      <c r="B247" s="1">
        <v>79</v>
      </c>
      <c r="C247" s="1">
        <v>110</v>
      </c>
      <c r="D247" s="1">
        <v>3</v>
      </c>
      <c r="E247" s="1">
        <v>1</v>
      </c>
      <c r="F247" s="2">
        <v>83.54</v>
      </c>
      <c r="G247" s="1">
        <v>3</v>
      </c>
      <c r="H247">
        <v>0.65</v>
      </c>
      <c r="I247" s="1">
        <v>1</v>
      </c>
      <c r="J247">
        <v>-0.98</v>
      </c>
      <c r="K247">
        <v>0.63</v>
      </c>
      <c r="L247" t="s">
        <v>24</v>
      </c>
      <c r="M247">
        <v>1</v>
      </c>
      <c r="N247" s="5">
        <v>44281</v>
      </c>
      <c r="O247" s="3">
        <v>0</v>
      </c>
    </row>
    <row r="248" spans="1:15" x14ac:dyDescent="0.3">
      <c r="A248" s="1">
        <v>7</v>
      </c>
      <c r="B248" s="1">
        <v>10</v>
      </c>
      <c r="C248" s="1">
        <v>14</v>
      </c>
      <c r="D248" s="1">
        <v>1</v>
      </c>
      <c r="E248" s="1">
        <v>0</v>
      </c>
      <c r="F248" s="1">
        <v>70</v>
      </c>
      <c r="G248" s="1">
        <v>3</v>
      </c>
      <c r="H248">
        <v>0.15</v>
      </c>
      <c r="I248" s="1">
        <v>1</v>
      </c>
      <c r="J248">
        <v>-0.98</v>
      </c>
      <c r="K248">
        <v>0.63</v>
      </c>
      <c r="L248" t="s">
        <v>24</v>
      </c>
      <c r="M248">
        <v>1</v>
      </c>
      <c r="N248" s="5">
        <v>44283</v>
      </c>
      <c r="O248" s="3">
        <v>2</v>
      </c>
    </row>
    <row r="249" spans="1:15" x14ac:dyDescent="0.3">
      <c r="A249" s="1">
        <v>7</v>
      </c>
      <c r="B249" s="1">
        <v>10</v>
      </c>
      <c r="C249" s="1">
        <v>14</v>
      </c>
      <c r="D249" s="1">
        <v>1</v>
      </c>
      <c r="E249" s="1">
        <v>0</v>
      </c>
      <c r="F249" s="1">
        <v>70</v>
      </c>
      <c r="G249" s="1">
        <v>3</v>
      </c>
      <c r="H249">
        <v>0.15</v>
      </c>
      <c r="I249" s="1">
        <v>1</v>
      </c>
      <c r="J249">
        <v>-0.98</v>
      </c>
      <c r="K249">
        <v>0.63</v>
      </c>
      <c r="L249" t="s">
        <v>24</v>
      </c>
      <c r="M249">
        <v>1</v>
      </c>
      <c r="N249" s="5">
        <v>44283</v>
      </c>
      <c r="O249" s="3">
        <v>0</v>
      </c>
    </row>
    <row r="250" spans="1:15" x14ac:dyDescent="0.3">
      <c r="A250" s="1">
        <v>51</v>
      </c>
      <c r="B250" s="1">
        <v>63</v>
      </c>
      <c r="C250" s="1">
        <v>79</v>
      </c>
      <c r="D250" s="1">
        <v>3</v>
      </c>
      <c r="E250" s="1">
        <v>0</v>
      </c>
      <c r="F250" s="2">
        <v>80.95</v>
      </c>
      <c r="G250" s="1">
        <v>3</v>
      </c>
      <c r="H250">
        <v>0.65</v>
      </c>
      <c r="I250" s="1">
        <v>2</v>
      </c>
      <c r="J250">
        <v>0.39</v>
      </c>
      <c r="K250">
        <v>0.18</v>
      </c>
      <c r="L250" t="s">
        <v>20</v>
      </c>
      <c r="M250">
        <v>0</v>
      </c>
      <c r="N250" s="5">
        <v>44580</v>
      </c>
      <c r="O250" s="3">
        <v>297</v>
      </c>
    </row>
    <row r="251" spans="1:15" x14ac:dyDescent="0.3">
      <c r="A251" s="1">
        <v>0</v>
      </c>
      <c r="B251" s="1">
        <v>5</v>
      </c>
      <c r="C251" s="1">
        <v>4</v>
      </c>
      <c r="D251" s="1">
        <v>0</v>
      </c>
      <c r="E251" s="1">
        <v>0</v>
      </c>
      <c r="F251" s="1">
        <v>0</v>
      </c>
      <c r="G251" s="1">
        <v>3</v>
      </c>
      <c r="H251">
        <v>0.65</v>
      </c>
      <c r="I251" s="1">
        <v>1</v>
      </c>
      <c r="J251">
        <v>0.39</v>
      </c>
      <c r="K251">
        <v>0.18</v>
      </c>
      <c r="L251" t="s">
        <v>20</v>
      </c>
      <c r="M251">
        <v>0</v>
      </c>
      <c r="N251" s="5">
        <v>44582</v>
      </c>
      <c r="O251" s="3">
        <v>2</v>
      </c>
    </row>
    <row r="252" spans="1:15" x14ac:dyDescent="0.3">
      <c r="A252" s="1">
        <v>65</v>
      </c>
      <c r="B252" s="1">
        <v>84</v>
      </c>
      <c r="C252" s="1">
        <v>112</v>
      </c>
      <c r="D252" s="1">
        <v>5</v>
      </c>
      <c r="E252" s="1">
        <v>0</v>
      </c>
      <c r="F252" s="2">
        <v>77.38</v>
      </c>
      <c r="G252" s="1">
        <v>3</v>
      </c>
      <c r="H252">
        <v>0.65</v>
      </c>
      <c r="I252" s="1">
        <v>2</v>
      </c>
      <c r="J252">
        <v>0.39</v>
      </c>
      <c r="K252">
        <v>0.18</v>
      </c>
      <c r="L252" t="s">
        <v>20</v>
      </c>
      <c r="M252">
        <v>0</v>
      </c>
      <c r="N252" s="5">
        <v>44584</v>
      </c>
      <c r="O252" s="3">
        <v>2</v>
      </c>
    </row>
    <row r="253" spans="1:15" x14ac:dyDescent="0.3">
      <c r="A253" s="1">
        <v>8</v>
      </c>
      <c r="B253" s="1">
        <v>4</v>
      </c>
      <c r="C253" s="1">
        <v>6</v>
      </c>
      <c r="D253" s="1">
        <v>2</v>
      </c>
      <c r="E253" s="1">
        <v>0</v>
      </c>
      <c r="F253" s="1">
        <v>200</v>
      </c>
      <c r="G253" s="1">
        <v>3</v>
      </c>
      <c r="H253">
        <v>0.65</v>
      </c>
      <c r="I253" s="1">
        <v>2</v>
      </c>
      <c r="J253">
        <v>-0.06</v>
      </c>
      <c r="K253">
        <v>0.4</v>
      </c>
      <c r="L253" t="s">
        <v>17</v>
      </c>
      <c r="M253">
        <v>1</v>
      </c>
      <c r="N253" s="5">
        <v>44598</v>
      </c>
      <c r="O253" s="3">
        <v>14</v>
      </c>
    </row>
    <row r="254" spans="1:15" x14ac:dyDescent="0.3">
      <c r="A254" s="1">
        <v>8</v>
      </c>
      <c r="B254" s="1">
        <v>4</v>
      </c>
      <c r="C254" s="1">
        <v>6</v>
      </c>
      <c r="D254" s="1">
        <v>2</v>
      </c>
      <c r="E254" s="1">
        <v>0</v>
      </c>
      <c r="F254" s="1">
        <v>200</v>
      </c>
      <c r="G254" s="1">
        <v>3</v>
      </c>
      <c r="H254">
        <v>0.65</v>
      </c>
      <c r="I254" s="1">
        <v>2</v>
      </c>
      <c r="J254">
        <v>-0.06</v>
      </c>
      <c r="K254">
        <v>0.4</v>
      </c>
      <c r="L254" t="s">
        <v>17</v>
      </c>
      <c r="M254">
        <v>1</v>
      </c>
      <c r="N254" s="5">
        <v>44598</v>
      </c>
      <c r="O254" s="3">
        <v>0</v>
      </c>
    </row>
    <row r="255" spans="1:15" x14ac:dyDescent="0.3">
      <c r="A255" s="1">
        <v>18</v>
      </c>
      <c r="B255" s="1">
        <v>30</v>
      </c>
      <c r="C255" s="1">
        <v>42</v>
      </c>
      <c r="D255" s="1">
        <v>3</v>
      </c>
      <c r="E255" s="1">
        <v>0</v>
      </c>
      <c r="F255" s="1">
        <v>60</v>
      </c>
      <c r="G255" s="1">
        <v>3</v>
      </c>
      <c r="H255">
        <v>0.65</v>
      </c>
      <c r="I255" s="1">
        <v>1</v>
      </c>
      <c r="J255">
        <v>-0.06</v>
      </c>
      <c r="K255">
        <v>0.4</v>
      </c>
      <c r="L255" t="s">
        <v>17</v>
      </c>
      <c r="M255">
        <v>1</v>
      </c>
      <c r="N255" s="5">
        <v>44601</v>
      </c>
      <c r="O255" s="3">
        <v>3</v>
      </c>
    </row>
    <row r="256" spans="1:15" x14ac:dyDescent="0.3">
      <c r="A256" s="1">
        <v>18</v>
      </c>
      <c r="B256" s="1">
        <v>30</v>
      </c>
      <c r="C256" s="1">
        <v>42</v>
      </c>
      <c r="D256" s="1">
        <v>3</v>
      </c>
      <c r="E256" s="1">
        <v>0</v>
      </c>
      <c r="F256" s="1">
        <v>60</v>
      </c>
      <c r="G256" s="1">
        <v>3</v>
      </c>
      <c r="H256">
        <v>0.65</v>
      </c>
      <c r="I256" s="1">
        <v>1</v>
      </c>
      <c r="J256">
        <v>-0.06</v>
      </c>
      <c r="K256">
        <v>0.4</v>
      </c>
      <c r="L256" t="s">
        <v>17</v>
      </c>
      <c r="M256">
        <v>1</v>
      </c>
      <c r="N256" s="5">
        <v>44601</v>
      </c>
      <c r="O256" s="3">
        <v>0</v>
      </c>
    </row>
    <row r="257" spans="1:15" x14ac:dyDescent="0.3">
      <c r="A257" s="1">
        <v>0</v>
      </c>
      <c r="B257" s="1">
        <v>2</v>
      </c>
      <c r="C257" s="1">
        <v>2</v>
      </c>
      <c r="D257" s="1">
        <v>0</v>
      </c>
      <c r="E257" s="1">
        <v>0</v>
      </c>
      <c r="F257" s="1">
        <v>0</v>
      </c>
      <c r="G257" s="1">
        <v>3</v>
      </c>
      <c r="H257">
        <v>0.65</v>
      </c>
      <c r="I257" s="1">
        <v>1</v>
      </c>
      <c r="J257">
        <v>-0.06</v>
      </c>
      <c r="K257">
        <v>0.4</v>
      </c>
      <c r="L257" t="s">
        <v>17</v>
      </c>
      <c r="M257">
        <v>1</v>
      </c>
      <c r="N257" s="5">
        <v>44603</v>
      </c>
      <c r="O257" s="3">
        <v>2</v>
      </c>
    </row>
    <row r="258" spans="1:15" x14ac:dyDescent="0.3">
      <c r="A258" s="1">
        <v>0</v>
      </c>
      <c r="B258" s="1">
        <v>2</v>
      </c>
      <c r="C258" s="1">
        <v>2</v>
      </c>
      <c r="D258" s="1">
        <v>0</v>
      </c>
      <c r="E258" s="1">
        <v>0</v>
      </c>
      <c r="F258" s="1">
        <v>0</v>
      </c>
      <c r="G258" s="1">
        <v>3</v>
      </c>
      <c r="H258">
        <v>0.65</v>
      </c>
      <c r="I258" s="1">
        <v>1</v>
      </c>
      <c r="J258">
        <v>-0.06</v>
      </c>
      <c r="K258">
        <v>0.4</v>
      </c>
      <c r="L258" t="s">
        <v>17</v>
      </c>
      <c r="M258">
        <v>1</v>
      </c>
      <c r="N258" s="5">
        <v>44603</v>
      </c>
      <c r="O258" s="3">
        <v>0</v>
      </c>
    </row>
    <row r="259" spans="1:15" x14ac:dyDescent="0.3">
      <c r="A259" s="1">
        <v>16</v>
      </c>
      <c r="B259" s="1">
        <v>25</v>
      </c>
      <c r="C259" s="1">
        <v>39</v>
      </c>
      <c r="D259" s="1">
        <v>3</v>
      </c>
      <c r="E259" s="1">
        <v>0</v>
      </c>
      <c r="F259" s="1">
        <v>64</v>
      </c>
      <c r="G259" s="1">
        <v>3</v>
      </c>
      <c r="H259">
        <v>0.65</v>
      </c>
      <c r="I259" s="1">
        <v>2</v>
      </c>
      <c r="J259">
        <v>-0.98</v>
      </c>
      <c r="K259">
        <v>0.63</v>
      </c>
      <c r="L259" t="s">
        <v>24</v>
      </c>
      <c r="M259">
        <v>0</v>
      </c>
      <c r="N259" s="5">
        <v>44756</v>
      </c>
      <c r="O259" s="3">
        <v>153</v>
      </c>
    </row>
    <row r="260" spans="1:15" x14ac:dyDescent="0.3">
      <c r="A260" s="1">
        <v>17</v>
      </c>
      <c r="B260" s="1">
        <v>22</v>
      </c>
      <c r="C260" s="1">
        <v>27</v>
      </c>
      <c r="D260" s="1">
        <v>3</v>
      </c>
      <c r="E260" s="1">
        <v>0</v>
      </c>
      <c r="F260" s="2">
        <v>77.27</v>
      </c>
      <c r="G260" s="1">
        <v>3</v>
      </c>
      <c r="H260">
        <v>0.65</v>
      </c>
      <c r="I260" s="1">
        <v>2</v>
      </c>
      <c r="J260">
        <v>-0.98</v>
      </c>
      <c r="K260">
        <v>0.63</v>
      </c>
      <c r="L260" t="s">
        <v>24</v>
      </c>
      <c r="M260">
        <v>0</v>
      </c>
      <c r="N260" s="5">
        <v>44759</v>
      </c>
      <c r="O260" s="3">
        <v>3</v>
      </c>
    </row>
    <row r="261" spans="1:15" x14ac:dyDescent="0.3">
      <c r="A261" s="1">
        <v>9</v>
      </c>
      <c r="B261" s="1">
        <v>15</v>
      </c>
      <c r="C261" s="1">
        <v>22</v>
      </c>
      <c r="D261" s="1">
        <v>1</v>
      </c>
      <c r="E261" s="1">
        <v>0</v>
      </c>
      <c r="F261" s="1">
        <v>60</v>
      </c>
      <c r="G261" s="1">
        <v>3</v>
      </c>
      <c r="H261">
        <v>0.65</v>
      </c>
      <c r="I261" s="1">
        <v>1</v>
      </c>
      <c r="J261">
        <v>0.37</v>
      </c>
      <c r="K261">
        <v>0.11</v>
      </c>
      <c r="L261" t="s">
        <v>19</v>
      </c>
      <c r="M261">
        <v>1</v>
      </c>
      <c r="N261" s="5">
        <v>44899</v>
      </c>
      <c r="O261" s="3">
        <v>140</v>
      </c>
    </row>
    <row r="262" spans="1:15" x14ac:dyDescent="0.3">
      <c r="A262" s="1">
        <v>5</v>
      </c>
      <c r="B262" s="1">
        <v>6</v>
      </c>
      <c r="C262" s="1">
        <v>9</v>
      </c>
      <c r="D262" s="1">
        <v>1</v>
      </c>
      <c r="E262" s="1">
        <v>0</v>
      </c>
      <c r="F262" s="2">
        <v>83.33</v>
      </c>
      <c r="G262" s="1">
        <v>1</v>
      </c>
      <c r="H262">
        <v>0.15</v>
      </c>
      <c r="I262" s="1">
        <v>2</v>
      </c>
      <c r="J262">
        <v>0.37</v>
      </c>
      <c r="K262">
        <v>0.11</v>
      </c>
      <c r="L262" t="s">
        <v>19</v>
      </c>
      <c r="M262">
        <v>1</v>
      </c>
      <c r="N262" s="5">
        <v>44902</v>
      </c>
      <c r="O262" s="3">
        <v>3</v>
      </c>
    </row>
    <row r="263" spans="1:15" x14ac:dyDescent="0.3">
      <c r="A263" s="1">
        <v>113</v>
      </c>
      <c r="B263" s="1">
        <v>91</v>
      </c>
      <c r="C263" s="1">
        <v>174</v>
      </c>
      <c r="D263" s="1">
        <v>11</v>
      </c>
      <c r="E263" s="1">
        <v>2</v>
      </c>
      <c r="F263" s="2">
        <v>124.17</v>
      </c>
      <c r="G263" s="1">
        <v>3</v>
      </c>
      <c r="H263">
        <v>0.65</v>
      </c>
      <c r="I263" s="1">
        <v>1</v>
      </c>
      <c r="J263">
        <v>0.37</v>
      </c>
      <c r="K263">
        <v>0.11</v>
      </c>
      <c r="L263" t="s">
        <v>19</v>
      </c>
      <c r="M263">
        <v>1</v>
      </c>
      <c r="N263" s="5">
        <v>44905</v>
      </c>
      <c r="O263" s="3">
        <v>3</v>
      </c>
    </row>
    <row r="264" spans="1:15" x14ac:dyDescent="0.3">
      <c r="A264" s="1">
        <v>113</v>
      </c>
      <c r="B264" s="1">
        <v>87</v>
      </c>
      <c r="C264" s="1">
        <v>117</v>
      </c>
      <c r="D264" s="1">
        <v>12</v>
      </c>
      <c r="E264" s="1">
        <v>1</v>
      </c>
      <c r="F264" s="2">
        <v>129.88</v>
      </c>
      <c r="G264" s="1">
        <v>3</v>
      </c>
      <c r="H264">
        <v>0.65</v>
      </c>
      <c r="I264" s="1">
        <v>1</v>
      </c>
      <c r="J264">
        <v>-0.14000000000000001</v>
      </c>
      <c r="K264">
        <v>0.3</v>
      </c>
      <c r="L264" t="s">
        <v>15</v>
      </c>
      <c r="M264">
        <v>1</v>
      </c>
      <c r="N264" s="5">
        <v>44936</v>
      </c>
      <c r="O264" s="3">
        <v>31</v>
      </c>
    </row>
    <row r="265" spans="1:15" x14ac:dyDescent="0.3">
      <c r="A265" s="1">
        <v>4</v>
      </c>
      <c r="B265" s="1">
        <v>9</v>
      </c>
      <c r="C265" s="1">
        <v>27</v>
      </c>
      <c r="D265" s="1">
        <v>1</v>
      </c>
      <c r="E265" s="1">
        <v>0</v>
      </c>
      <c r="F265" s="2">
        <v>44.44</v>
      </c>
      <c r="G265" s="1">
        <v>3</v>
      </c>
      <c r="H265">
        <v>0.15</v>
      </c>
      <c r="I265" s="1">
        <v>2</v>
      </c>
      <c r="J265">
        <v>-0.14000000000000001</v>
      </c>
      <c r="K265">
        <v>0.3</v>
      </c>
      <c r="L265" t="s">
        <v>15</v>
      </c>
      <c r="M265">
        <v>1</v>
      </c>
      <c r="N265" s="5">
        <v>44938</v>
      </c>
      <c r="O265" s="3">
        <v>2</v>
      </c>
    </row>
    <row r="266" spans="1:15" x14ac:dyDescent="0.3">
      <c r="A266" s="1">
        <v>166</v>
      </c>
      <c r="B266" s="1">
        <v>110</v>
      </c>
      <c r="C266" s="1">
        <v>173</v>
      </c>
      <c r="D266" s="1">
        <v>13</v>
      </c>
      <c r="E266" s="1">
        <v>8</v>
      </c>
      <c r="F266" s="4">
        <v>150.9</v>
      </c>
      <c r="G266" s="1">
        <v>3</v>
      </c>
      <c r="H266">
        <v>0.15</v>
      </c>
      <c r="I266" s="1">
        <v>1</v>
      </c>
      <c r="J266">
        <v>-0.14000000000000001</v>
      </c>
      <c r="K266">
        <v>0.3</v>
      </c>
      <c r="L266" t="s">
        <v>15</v>
      </c>
      <c r="M266">
        <v>1</v>
      </c>
      <c r="N266" s="5">
        <v>44941</v>
      </c>
      <c r="O266" s="3">
        <v>3</v>
      </c>
    </row>
    <row r="267" spans="1:15" x14ac:dyDescent="0.3">
      <c r="A267" s="1">
        <v>8</v>
      </c>
      <c r="B267" s="1">
        <v>10</v>
      </c>
      <c r="C267" s="1">
        <v>16</v>
      </c>
      <c r="D267" s="1">
        <v>1</v>
      </c>
      <c r="E267" s="1">
        <v>0</v>
      </c>
      <c r="F267" s="1">
        <v>80</v>
      </c>
      <c r="G267" s="1">
        <v>3</v>
      </c>
      <c r="H267">
        <v>0.15</v>
      </c>
      <c r="I267" s="1">
        <v>1</v>
      </c>
      <c r="J267">
        <v>-0.26</v>
      </c>
      <c r="K267">
        <v>0.69</v>
      </c>
      <c r="L267" t="s">
        <v>23</v>
      </c>
      <c r="M267">
        <v>1</v>
      </c>
      <c r="N267" s="5">
        <v>44944</v>
      </c>
      <c r="O267" s="3">
        <v>3</v>
      </c>
    </row>
    <row r="268" spans="1:15" x14ac:dyDescent="0.3">
      <c r="A268" s="1">
        <v>11</v>
      </c>
      <c r="B268" s="1">
        <v>9</v>
      </c>
      <c r="C268" s="1">
        <v>19</v>
      </c>
      <c r="D268" s="1">
        <v>2</v>
      </c>
      <c r="E268" s="1">
        <v>0</v>
      </c>
      <c r="F268" s="2">
        <v>122.22</v>
      </c>
      <c r="G268" s="1">
        <v>3</v>
      </c>
      <c r="H268">
        <v>0.02</v>
      </c>
      <c r="I268" s="1">
        <v>2</v>
      </c>
      <c r="J268">
        <v>-0.26</v>
      </c>
      <c r="K268">
        <v>0.69</v>
      </c>
      <c r="L268" t="s">
        <v>23</v>
      </c>
      <c r="M268">
        <v>1</v>
      </c>
      <c r="N268" s="5">
        <v>44947</v>
      </c>
      <c r="O268" s="3">
        <v>3</v>
      </c>
    </row>
    <row r="269" spans="1:15" x14ac:dyDescent="0.3">
      <c r="A269" s="1">
        <v>36</v>
      </c>
      <c r="B269" s="1">
        <v>27</v>
      </c>
      <c r="C269" s="1">
        <v>44</v>
      </c>
      <c r="D269" s="1">
        <v>3</v>
      </c>
      <c r="E269" s="1">
        <v>1</v>
      </c>
      <c r="F269" s="2">
        <v>133.33000000000001</v>
      </c>
      <c r="G269" s="1">
        <v>3</v>
      </c>
      <c r="H269">
        <v>0.65</v>
      </c>
      <c r="I269" s="1">
        <v>1</v>
      </c>
      <c r="J269">
        <v>-0.26</v>
      </c>
      <c r="K269">
        <v>0.69</v>
      </c>
      <c r="L269" t="s">
        <v>23</v>
      </c>
      <c r="M269">
        <v>1</v>
      </c>
      <c r="N269" s="5">
        <v>44950</v>
      </c>
      <c r="O269" s="3">
        <v>3</v>
      </c>
    </row>
    <row r="270" spans="1:15" x14ac:dyDescent="0.3">
      <c r="A270" s="1">
        <v>4</v>
      </c>
      <c r="B270" s="1">
        <v>9</v>
      </c>
      <c r="C270" s="1">
        <v>15</v>
      </c>
      <c r="D270" s="1">
        <v>1</v>
      </c>
      <c r="E270" s="1">
        <v>0</v>
      </c>
      <c r="F270" s="2">
        <v>44.44</v>
      </c>
      <c r="G270" s="1">
        <v>3</v>
      </c>
      <c r="H270">
        <v>0.14000000000000001</v>
      </c>
      <c r="I270" s="1">
        <v>2</v>
      </c>
      <c r="J270">
        <v>-0.42</v>
      </c>
      <c r="K270">
        <v>0.72</v>
      </c>
      <c r="L270" t="s">
        <v>18</v>
      </c>
      <c r="M270">
        <v>1</v>
      </c>
      <c r="N270" s="5">
        <v>45002</v>
      </c>
      <c r="O270" s="3">
        <v>52</v>
      </c>
    </row>
    <row r="271" spans="1:15" x14ac:dyDescent="0.3">
      <c r="A271" s="1">
        <v>31</v>
      </c>
      <c r="B271" s="1">
        <v>35</v>
      </c>
      <c r="C271" s="1">
        <v>79</v>
      </c>
      <c r="D271" s="1">
        <v>4</v>
      </c>
      <c r="E271" s="1">
        <v>0</v>
      </c>
      <c r="F271" s="2">
        <v>88.57</v>
      </c>
      <c r="G271" s="1">
        <v>3</v>
      </c>
      <c r="H271">
        <v>0.14000000000000001</v>
      </c>
      <c r="I271" s="1">
        <v>1</v>
      </c>
      <c r="J271">
        <v>-0.42</v>
      </c>
      <c r="K271">
        <v>0.72</v>
      </c>
      <c r="L271" t="s">
        <v>18</v>
      </c>
      <c r="M271">
        <v>1</v>
      </c>
      <c r="N271" s="5">
        <v>45004</v>
      </c>
      <c r="O271" s="3">
        <v>2</v>
      </c>
    </row>
    <row r="272" spans="1:15" x14ac:dyDescent="0.3">
      <c r="A272" s="1">
        <v>54</v>
      </c>
      <c r="B272" s="1">
        <v>72</v>
      </c>
      <c r="C272" s="1">
        <v>118</v>
      </c>
      <c r="D272" s="1">
        <v>2</v>
      </c>
      <c r="E272" s="1">
        <v>1</v>
      </c>
      <c r="F272" s="1">
        <v>75</v>
      </c>
      <c r="G272" s="1">
        <v>3</v>
      </c>
      <c r="H272">
        <v>0.65</v>
      </c>
      <c r="I272" s="1">
        <v>2</v>
      </c>
      <c r="J272">
        <v>-0.42</v>
      </c>
      <c r="K272">
        <v>0.72</v>
      </c>
      <c r="L272" t="s">
        <v>18</v>
      </c>
      <c r="M272">
        <v>1</v>
      </c>
      <c r="N272" s="5">
        <v>45007</v>
      </c>
      <c r="O272" s="3">
        <v>3</v>
      </c>
    </row>
    <row r="273" spans="1:15" x14ac:dyDescent="0.3">
      <c r="A273" s="1">
        <v>122</v>
      </c>
      <c r="B273" s="1">
        <v>94</v>
      </c>
      <c r="C273" s="1">
        <v>147</v>
      </c>
      <c r="D273" s="1">
        <v>9</v>
      </c>
      <c r="E273" s="1">
        <v>3</v>
      </c>
      <c r="F273" s="2">
        <v>129.78</v>
      </c>
      <c r="G273" s="1">
        <v>3</v>
      </c>
      <c r="H273">
        <v>0.15</v>
      </c>
      <c r="I273" s="1">
        <v>1</v>
      </c>
      <c r="J273">
        <v>-0.15</v>
      </c>
      <c r="K273">
        <v>0.11</v>
      </c>
      <c r="L273" t="s">
        <v>16</v>
      </c>
      <c r="M273">
        <v>0</v>
      </c>
      <c r="N273" s="5">
        <v>45179</v>
      </c>
      <c r="O273" s="3">
        <v>6</v>
      </c>
    </row>
    <row r="274" spans="1:15" x14ac:dyDescent="0.3">
      <c r="A274" s="1">
        <v>3</v>
      </c>
      <c r="B274" s="1">
        <v>12</v>
      </c>
      <c r="C274" s="1">
        <v>12</v>
      </c>
      <c r="D274" s="1">
        <v>0</v>
      </c>
      <c r="E274" s="1">
        <v>0</v>
      </c>
      <c r="F274" s="1">
        <v>25</v>
      </c>
      <c r="G274" s="1">
        <v>3</v>
      </c>
      <c r="H274">
        <v>0.65</v>
      </c>
      <c r="I274" s="1">
        <v>1</v>
      </c>
      <c r="J274">
        <v>-0.14000000000000001</v>
      </c>
      <c r="K274">
        <v>0.3</v>
      </c>
      <c r="L274" t="s">
        <v>15</v>
      </c>
      <c r="M274">
        <v>0</v>
      </c>
      <c r="N274" s="5">
        <v>45181</v>
      </c>
      <c r="O274" s="3">
        <v>2</v>
      </c>
    </row>
    <row r="275" spans="1:15" x14ac:dyDescent="0.3">
      <c r="A275" s="1">
        <v>56</v>
      </c>
      <c r="B275" s="1">
        <v>61</v>
      </c>
      <c r="C275" s="1">
        <v>63</v>
      </c>
      <c r="D275" s="1">
        <v>5</v>
      </c>
      <c r="E275" s="1">
        <v>1</v>
      </c>
      <c r="F275" s="4">
        <v>91.8</v>
      </c>
      <c r="G275" s="1">
        <v>3</v>
      </c>
      <c r="H275">
        <v>0.65</v>
      </c>
      <c r="I275" s="1">
        <v>2</v>
      </c>
      <c r="J275">
        <v>-0.42</v>
      </c>
      <c r="K275">
        <v>0.72</v>
      </c>
      <c r="L275" t="s">
        <v>18</v>
      </c>
      <c r="M275">
        <v>1</v>
      </c>
      <c r="N275" s="5">
        <v>45196</v>
      </c>
      <c r="O275" s="3">
        <v>10</v>
      </c>
    </row>
    <row r="276" spans="1:15" x14ac:dyDescent="0.3">
      <c r="A276" s="1">
        <v>85</v>
      </c>
      <c r="B276" s="1">
        <v>116</v>
      </c>
      <c r="C276" s="1">
        <v>171</v>
      </c>
      <c r="D276" s="1">
        <v>6</v>
      </c>
      <c r="E276" s="1">
        <v>0</v>
      </c>
      <c r="F276" s="2">
        <v>73.27</v>
      </c>
      <c r="G276" s="1">
        <v>3</v>
      </c>
      <c r="H276">
        <v>0.65</v>
      </c>
      <c r="I276" s="1">
        <v>2</v>
      </c>
      <c r="J276">
        <v>-0.42</v>
      </c>
      <c r="K276">
        <v>0.72</v>
      </c>
      <c r="L276" t="s">
        <v>18</v>
      </c>
      <c r="M276">
        <v>1</v>
      </c>
      <c r="N276" s="5">
        <v>45207</v>
      </c>
      <c r="O276" s="3">
        <v>11</v>
      </c>
    </row>
    <row r="277" spans="1:15" x14ac:dyDescent="0.3">
      <c r="A277" s="1">
        <v>55</v>
      </c>
      <c r="B277" s="1">
        <v>56</v>
      </c>
      <c r="C277" s="1">
        <v>64</v>
      </c>
      <c r="D277" s="1">
        <v>6</v>
      </c>
      <c r="E277" s="1">
        <v>0</v>
      </c>
      <c r="F277" s="2">
        <v>98.21</v>
      </c>
      <c r="G277" s="1">
        <v>3</v>
      </c>
      <c r="H277">
        <v>0.15</v>
      </c>
      <c r="I277" s="1">
        <v>2</v>
      </c>
      <c r="J277">
        <v>2.59</v>
      </c>
      <c r="K277">
        <v>-0.88</v>
      </c>
      <c r="L277" t="s">
        <v>27</v>
      </c>
      <c r="M277">
        <v>1</v>
      </c>
      <c r="N277" s="5">
        <v>45210</v>
      </c>
      <c r="O277" s="3">
        <v>3</v>
      </c>
    </row>
    <row r="278" spans="1:15" x14ac:dyDescent="0.3">
      <c r="A278" s="1">
        <v>16</v>
      </c>
      <c r="B278" s="1">
        <v>18</v>
      </c>
      <c r="C278" s="1">
        <v>31</v>
      </c>
      <c r="D278" s="1">
        <v>3</v>
      </c>
      <c r="E278" s="1">
        <v>0</v>
      </c>
      <c r="F278" s="2">
        <v>88.88</v>
      </c>
      <c r="G278" s="1">
        <v>3</v>
      </c>
      <c r="H278">
        <v>0.65</v>
      </c>
      <c r="I278" s="1">
        <v>2</v>
      </c>
      <c r="J278">
        <v>-0.15</v>
      </c>
      <c r="K278">
        <v>0.11</v>
      </c>
      <c r="L278" t="s">
        <v>16</v>
      </c>
      <c r="M278">
        <v>1</v>
      </c>
      <c r="N278" s="5">
        <v>45213</v>
      </c>
      <c r="O278" s="3">
        <v>3</v>
      </c>
    </row>
    <row r="279" spans="1:15" x14ac:dyDescent="0.3">
      <c r="A279" s="1">
        <v>103</v>
      </c>
      <c r="B279" s="1">
        <v>97</v>
      </c>
      <c r="C279" s="1">
        <v>113</v>
      </c>
      <c r="D279" s="1">
        <v>6</v>
      </c>
      <c r="E279" s="1">
        <v>4</v>
      </c>
      <c r="F279" s="2">
        <v>106.18</v>
      </c>
      <c r="G279" s="1">
        <v>3</v>
      </c>
      <c r="H279">
        <v>0.15</v>
      </c>
      <c r="I279" s="1">
        <v>2</v>
      </c>
      <c r="J279">
        <v>0.37</v>
      </c>
      <c r="K279">
        <v>0.11</v>
      </c>
      <c r="L279" t="s">
        <v>19</v>
      </c>
      <c r="M279">
        <v>1</v>
      </c>
      <c r="N279" s="5">
        <v>45218</v>
      </c>
      <c r="O279" s="3">
        <v>5</v>
      </c>
    </row>
    <row r="280" spans="1:15" x14ac:dyDescent="0.3">
      <c r="A280" s="1">
        <v>95</v>
      </c>
      <c r="B280" s="1">
        <v>104</v>
      </c>
      <c r="C280" s="1">
        <v>154</v>
      </c>
      <c r="D280" s="1">
        <v>8</v>
      </c>
      <c r="E280" s="1">
        <v>2</v>
      </c>
      <c r="F280" s="2">
        <v>91.34</v>
      </c>
      <c r="G280" s="1">
        <v>3</v>
      </c>
      <c r="H280">
        <v>0.65</v>
      </c>
      <c r="I280" s="1">
        <v>2</v>
      </c>
      <c r="J280">
        <v>-0.26</v>
      </c>
      <c r="K280">
        <v>0.69</v>
      </c>
      <c r="L280" t="s">
        <v>23</v>
      </c>
      <c r="M280">
        <v>1</v>
      </c>
      <c r="N280" s="5">
        <v>45221</v>
      </c>
      <c r="O280" s="3">
        <v>3</v>
      </c>
    </row>
    <row r="281" spans="1:15" x14ac:dyDescent="0.3">
      <c r="A281" s="1">
        <v>0</v>
      </c>
      <c r="B281" s="1">
        <v>9</v>
      </c>
      <c r="C281" s="1">
        <v>12</v>
      </c>
      <c r="D281" s="1">
        <v>0</v>
      </c>
      <c r="E281" s="1">
        <v>0</v>
      </c>
      <c r="F281" s="1">
        <v>0</v>
      </c>
      <c r="G281" s="1">
        <v>3</v>
      </c>
      <c r="H281">
        <v>0.65</v>
      </c>
      <c r="I281" s="1">
        <v>1</v>
      </c>
      <c r="J281">
        <v>-0.98</v>
      </c>
      <c r="K281">
        <v>0.63</v>
      </c>
      <c r="L281" t="s">
        <v>24</v>
      </c>
      <c r="M281">
        <v>1</v>
      </c>
      <c r="N281" s="5">
        <v>45228</v>
      </c>
      <c r="O281" s="3">
        <v>7</v>
      </c>
    </row>
    <row r="282" spans="1:15" x14ac:dyDescent="0.3">
      <c r="A282" s="1">
        <v>88</v>
      </c>
      <c r="B282" s="1">
        <v>94</v>
      </c>
      <c r="C282" s="1">
        <v>139</v>
      </c>
      <c r="D282" s="1">
        <v>11</v>
      </c>
      <c r="E282" s="1">
        <v>0</v>
      </c>
      <c r="F282" s="2">
        <v>93.61</v>
      </c>
      <c r="G282" s="1">
        <v>3</v>
      </c>
      <c r="H282">
        <v>0.65</v>
      </c>
      <c r="I282" s="1">
        <v>1</v>
      </c>
      <c r="J282">
        <v>-0.14000000000000001</v>
      </c>
      <c r="K282">
        <v>0.3</v>
      </c>
      <c r="L282" t="s">
        <v>15</v>
      </c>
      <c r="M282">
        <v>1</v>
      </c>
      <c r="N282" s="5">
        <v>45232</v>
      </c>
      <c r="O282" s="3">
        <v>4</v>
      </c>
    </row>
    <row r="283" spans="1:15" x14ac:dyDescent="0.3">
      <c r="A283" s="1">
        <v>101</v>
      </c>
      <c r="B283" s="1">
        <v>121</v>
      </c>
      <c r="C283" s="1">
        <v>195</v>
      </c>
      <c r="D283" s="1">
        <v>10</v>
      </c>
      <c r="E283" s="1">
        <v>0</v>
      </c>
      <c r="F283" s="2">
        <v>83.47</v>
      </c>
      <c r="G283" s="1">
        <v>3</v>
      </c>
      <c r="H283">
        <v>0.15</v>
      </c>
      <c r="I283" s="1">
        <v>1</v>
      </c>
      <c r="J283">
        <v>0.39</v>
      </c>
      <c r="K283">
        <v>0.18</v>
      </c>
      <c r="L283" t="s">
        <v>20</v>
      </c>
      <c r="M283">
        <v>1</v>
      </c>
      <c r="N283" s="5">
        <v>45235</v>
      </c>
      <c r="O283" s="3">
        <v>3</v>
      </c>
    </row>
    <row r="284" spans="1:15" x14ac:dyDescent="0.3">
      <c r="A284" s="1">
        <v>51</v>
      </c>
      <c r="B284" s="1">
        <v>56</v>
      </c>
      <c r="C284" s="1">
        <v>69</v>
      </c>
      <c r="D284" s="1">
        <v>5</v>
      </c>
      <c r="E284" s="1">
        <v>1</v>
      </c>
      <c r="F284" s="2">
        <v>91.07</v>
      </c>
      <c r="G284" s="1">
        <v>3</v>
      </c>
      <c r="H284">
        <v>0.15</v>
      </c>
      <c r="I284" s="1">
        <v>1</v>
      </c>
      <c r="J284">
        <v>-1.41</v>
      </c>
      <c r="K284">
        <v>0.99</v>
      </c>
      <c r="L284" t="s">
        <v>26</v>
      </c>
      <c r="M284">
        <v>1</v>
      </c>
      <c r="N284" s="5">
        <v>45242</v>
      </c>
      <c r="O284" s="3">
        <v>7</v>
      </c>
    </row>
    <row r="285" spans="1:15" x14ac:dyDescent="0.3">
      <c r="A285" s="1">
        <v>117</v>
      </c>
      <c r="B285" s="1">
        <v>113</v>
      </c>
      <c r="C285" s="1">
        <v>149</v>
      </c>
      <c r="D285" s="1">
        <v>9</v>
      </c>
      <c r="E285" s="1">
        <v>2</v>
      </c>
      <c r="F285" s="2">
        <v>103.53</v>
      </c>
      <c r="G285" s="1">
        <v>3</v>
      </c>
      <c r="H285">
        <v>0.65</v>
      </c>
      <c r="I285" s="1">
        <v>1</v>
      </c>
      <c r="J285">
        <v>-0.26</v>
      </c>
      <c r="K285">
        <v>0.69</v>
      </c>
      <c r="L285" t="s">
        <v>23</v>
      </c>
      <c r="M285">
        <v>1</v>
      </c>
      <c r="N285" s="5">
        <v>45245</v>
      </c>
      <c r="O285" s="3">
        <v>3</v>
      </c>
    </row>
    <row r="286" spans="1:15" x14ac:dyDescent="0.3">
      <c r="A286" s="1">
        <v>54</v>
      </c>
      <c r="B286" s="1">
        <v>63</v>
      </c>
      <c r="C286" s="1">
        <v>99</v>
      </c>
      <c r="D286" s="1">
        <v>4</v>
      </c>
      <c r="E286" s="1">
        <v>0</v>
      </c>
      <c r="F286" s="2">
        <v>85.71</v>
      </c>
      <c r="G286" s="1">
        <v>3</v>
      </c>
      <c r="H286">
        <v>0.15</v>
      </c>
      <c r="I286" s="1">
        <v>1</v>
      </c>
      <c r="J286">
        <v>-0.42</v>
      </c>
      <c r="K286">
        <v>0.72</v>
      </c>
      <c r="L286" t="s">
        <v>18</v>
      </c>
      <c r="M286">
        <v>1</v>
      </c>
      <c r="N286" s="5">
        <v>45249</v>
      </c>
      <c r="O286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Ekeshwar Singh</dc:creator>
  <cp:lastModifiedBy>Ekeshwar Singh</cp:lastModifiedBy>
  <dcterms:created xsi:type="dcterms:W3CDTF">2026-03-22T05:56:30Z</dcterms:created>
  <dcterms:modified xsi:type="dcterms:W3CDTF">2026-03-22T14:01:01Z</dcterms:modified>
</cp:coreProperties>
</file>